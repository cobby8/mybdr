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0. Programing\mybdr\"/>
    </mc:Choice>
  </mc:AlternateContent>
  <xr:revisionPtr revIDLastSave="0" documentId="11_9251AD218CEFA3D9ACF091DB8FAB4600C71E0A2E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라이징이글스" sheetId="1" r:id="rId1"/>
    <sheet name="제이크루" sheetId="2" r:id="rId2"/>
    <sheet name="라이징이글스 OT2" sheetId="3" r:id="rId3"/>
    <sheet name="제이크루 OT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6" i="4" l="1"/>
  <c r="T16" i="4"/>
  <c r="S16" i="4"/>
  <c r="R16" i="4"/>
  <c r="Q16" i="4"/>
  <c r="P16" i="4"/>
  <c r="O16" i="4"/>
  <c r="N16" i="4"/>
  <c r="L16" i="4"/>
  <c r="K16" i="4"/>
  <c r="M16" i="4" s="1"/>
  <c r="J16" i="4"/>
  <c r="I16" i="4"/>
  <c r="H16" i="4"/>
  <c r="F16" i="4"/>
  <c r="E16" i="4"/>
  <c r="G16" i="4" s="1"/>
  <c r="D16" i="4"/>
  <c r="M15" i="4"/>
  <c r="J15" i="4"/>
  <c r="G15" i="4"/>
  <c r="M14" i="4"/>
  <c r="J14" i="4"/>
  <c r="G14" i="4"/>
  <c r="M13" i="4"/>
  <c r="J13" i="4"/>
  <c r="G13" i="4"/>
  <c r="M12" i="4"/>
  <c r="J12" i="4"/>
  <c r="G12" i="4"/>
  <c r="M11" i="4"/>
  <c r="J11" i="4"/>
  <c r="G11" i="4"/>
  <c r="M10" i="4"/>
  <c r="J10" i="4"/>
  <c r="G10" i="4"/>
  <c r="M9" i="4"/>
  <c r="J9" i="4"/>
  <c r="G9" i="4"/>
  <c r="M8" i="4"/>
  <c r="J8" i="4"/>
  <c r="G8" i="4"/>
  <c r="M7" i="4"/>
  <c r="J7" i="4"/>
  <c r="G7" i="4"/>
  <c r="M6" i="4"/>
  <c r="J6" i="4"/>
  <c r="G6" i="4"/>
  <c r="M5" i="4"/>
  <c r="J5" i="4"/>
  <c r="G5" i="4"/>
  <c r="U15" i="3"/>
  <c r="T15" i="3"/>
  <c r="S15" i="3"/>
  <c r="R15" i="3"/>
  <c r="Q15" i="3"/>
  <c r="P15" i="3"/>
  <c r="O15" i="3"/>
  <c r="N15" i="3"/>
  <c r="M15" i="3"/>
  <c r="L15" i="3"/>
  <c r="K15" i="3"/>
  <c r="I15" i="3"/>
  <c r="H15" i="3"/>
  <c r="J15" i="3" s="1"/>
  <c r="F15" i="3"/>
  <c r="E15" i="3"/>
  <c r="G15" i="3" s="1"/>
  <c r="D15" i="3"/>
  <c r="M14" i="3"/>
  <c r="J14" i="3"/>
  <c r="G14" i="3"/>
  <c r="M13" i="3"/>
  <c r="J13" i="3"/>
  <c r="G13" i="3"/>
  <c r="M12" i="3"/>
  <c r="J12" i="3"/>
  <c r="G12" i="3"/>
  <c r="M11" i="3"/>
  <c r="J11" i="3"/>
  <c r="G11" i="3"/>
  <c r="M10" i="3"/>
  <c r="J10" i="3"/>
  <c r="G10" i="3"/>
  <c r="M9" i="3"/>
  <c r="J9" i="3"/>
  <c r="G9" i="3"/>
  <c r="M8" i="3"/>
  <c r="J8" i="3"/>
  <c r="G8" i="3"/>
  <c r="M7" i="3"/>
  <c r="J7" i="3"/>
  <c r="G7" i="3"/>
  <c r="M6" i="3"/>
  <c r="J6" i="3"/>
  <c r="G6" i="3"/>
  <c r="M5" i="3"/>
  <c r="J5" i="3"/>
  <c r="G5" i="3"/>
  <c r="U17" i="2"/>
  <c r="T17" i="2"/>
  <c r="S17" i="2"/>
  <c r="R17" i="2"/>
  <c r="Q17" i="2"/>
  <c r="O17" i="2"/>
  <c r="N17" i="2"/>
  <c r="M17" i="2"/>
  <c r="L17" i="2"/>
  <c r="K17" i="2"/>
  <c r="I17" i="2"/>
  <c r="H17" i="2"/>
  <c r="J17" i="2" s="1"/>
  <c r="F17" i="2"/>
  <c r="E17" i="2"/>
  <c r="G17" i="2" s="1"/>
  <c r="D17" i="2"/>
  <c r="P15" i="2"/>
  <c r="M15" i="2"/>
  <c r="J15" i="2"/>
  <c r="G15" i="2"/>
  <c r="P14" i="2"/>
  <c r="M14" i="2"/>
  <c r="J14" i="2"/>
  <c r="G14" i="2"/>
  <c r="P13" i="2"/>
  <c r="M13" i="2"/>
  <c r="J13" i="2"/>
  <c r="G13" i="2"/>
  <c r="P12" i="2"/>
  <c r="M12" i="2"/>
  <c r="J12" i="2"/>
  <c r="G12" i="2"/>
  <c r="P11" i="2"/>
  <c r="M11" i="2"/>
  <c r="J11" i="2"/>
  <c r="G11" i="2"/>
  <c r="P10" i="2"/>
  <c r="M10" i="2"/>
  <c r="J10" i="2"/>
  <c r="G10" i="2"/>
  <c r="P9" i="2"/>
  <c r="M9" i="2"/>
  <c r="J9" i="2"/>
  <c r="G9" i="2"/>
  <c r="P8" i="2"/>
  <c r="M8" i="2"/>
  <c r="J8" i="2"/>
  <c r="G8" i="2"/>
  <c r="P7" i="2"/>
  <c r="M7" i="2"/>
  <c r="J7" i="2"/>
  <c r="G7" i="2"/>
  <c r="P6" i="2"/>
  <c r="M6" i="2"/>
  <c r="J6" i="2"/>
  <c r="G6" i="2"/>
  <c r="P5" i="2"/>
  <c r="P17" i="2" s="1"/>
  <c r="M5" i="2"/>
  <c r="J5" i="2"/>
  <c r="G5" i="2"/>
  <c r="U18" i="1"/>
  <c r="T18" i="1"/>
  <c r="S18" i="1"/>
  <c r="R18" i="1"/>
  <c r="Q18" i="1"/>
  <c r="O18" i="1"/>
  <c r="N18" i="1"/>
  <c r="L18" i="1"/>
  <c r="K18" i="1"/>
  <c r="M18" i="1" s="1"/>
  <c r="I18" i="1"/>
  <c r="J18" i="1" s="1"/>
  <c r="H18" i="1"/>
  <c r="F18" i="1"/>
  <c r="E18" i="1"/>
  <c r="G18" i="1" s="1"/>
  <c r="D18" i="1"/>
  <c r="P14" i="1"/>
  <c r="M14" i="1"/>
  <c r="J14" i="1"/>
  <c r="G14" i="1"/>
  <c r="P13" i="1"/>
  <c r="M13" i="1"/>
  <c r="J13" i="1"/>
  <c r="G13" i="1"/>
  <c r="P12" i="1"/>
  <c r="M12" i="1"/>
  <c r="J12" i="1"/>
  <c r="G12" i="1"/>
  <c r="P11" i="1"/>
  <c r="M11" i="1"/>
  <c r="J11" i="1"/>
  <c r="G11" i="1"/>
  <c r="P10" i="1"/>
  <c r="M10" i="1"/>
  <c r="J10" i="1"/>
  <c r="G10" i="1"/>
  <c r="P9" i="1"/>
  <c r="M9" i="1"/>
  <c r="J9" i="1"/>
  <c r="G9" i="1"/>
  <c r="P8" i="1"/>
  <c r="M8" i="1"/>
  <c r="J8" i="1"/>
  <c r="G8" i="1"/>
  <c r="P7" i="1"/>
  <c r="M7" i="1"/>
  <c r="J7" i="1"/>
  <c r="G7" i="1"/>
  <c r="P6" i="1"/>
  <c r="M6" i="1"/>
  <c r="J6" i="1"/>
  <c r="G6" i="1"/>
  <c r="P5" i="1"/>
  <c r="P18" i="1" s="1"/>
  <c r="M5" i="1"/>
  <c r="J5" i="1"/>
  <c r="G5" i="1"/>
</calcChain>
</file>

<file path=xl/sharedStrings.xml><?xml version="1.0" encoding="utf-8"?>
<sst xmlns="http://schemas.openxmlformats.org/spreadsheetml/2006/main" count="305" uniqueCount="81">
  <si>
    <t>라이징이글스 vs 제이크루 — 누적 기록 (OT2 종료)</t>
  </si>
  <si>
    <t>열혈농구단 SEASON2 전국 최강전 ⑥예선</t>
  </si>
  <si>
    <t>75 : 82</t>
  </si>
  <si>
    <t>Q1 8-17  Q2 17-20  Q3 16-15  Q4 25-12  OT1 7-7  OT2 5-12</t>
  </si>
  <si>
    <t>#</t>
  </si>
  <si>
    <t>이름</t>
  </si>
  <si>
    <t>MIN</t>
  </si>
  <si>
    <t>PTS</t>
  </si>
  <si>
    <t>FGM</t>
  </si>
  <si>
    <t>FGA</t>
  </si>
  <si>
    <t>FG%</t>
  </si>
  <si>
    <t>3PM</t>
  </si>
  <si>
    <t>3PA</t>
  </si>
  <si>
    <t>3P%</t>
  </si>
  <si>
    <t>FTM</t>
  </si>
  <si>
    <t>FTA</t>
  </si>
  <si>
    <t>FT%</t>
  </si>
  <si>
    <t>OR</t>
  </si>
  <si>
    <t>DR</t>
  </si>
  <si>
    <t>REB</t>
  </si>
  <si>
    <t>AST</t>
  </si>
  <si>
    <t>STL</t>
  </si>
  <si>
    <t>BLK</t>
  </si>
  <si>
    <t>TO</t>
  </si>
  <si>
    <t>PF</t>
  </si>
  <si>
    <t>+/-</t>
  </si>
  <si>
    <t>손태진</t>
  </si>
  <si>
    <t>15:41</t>
  </si>
  <si>
    <t>오승훈</t>
  </si>
  <si>
    <t>39:58</t>
  </si>
  <si>
    <t>문수인</t>
  </si>
  <si>
    <t>39:57</t>
  </si>
  <si>
    <t>김택</t>
  </si>
  <si>
    <t>22:37</t>
  </si>
  <si>
    <t>최민호</t>
  </si>
  <si>
    <t>32:19</t>
  </si>
  <si>
    <t>박찬웅</t>
  </si>
  <si>
    <t>이대희</t>
  </si>
  <si>
    <t>22:13</t>
  </si>
  <si>
    <t>박찬열</t>
  </si>
  <si>
    <t>11:44</t>
  </si>
  <si>
    <t>조진세</t>
  </si>
  <si>
    <t>7:39</t>
  </si>
  <si>
    <t>줄리엔강</t>
  </si>
  <si>
    <t>17:54</t>
  </si>
  <si>
    <t>정규민</t>
  </si>
  <si>
    <t>DNP</t>
  </si>
  <si>
    <t>-</t>
  </si>
  <si>
    <t>정진운</t>
  </si>
  <si>
    <t>장진혁</t>
  </si>
  <si>
    <t>TOTAL</t>
  </si>
  <si>
    <t>250:00</t>
  </si>
  <si>
    <t>제이크루 vs 라이징이글스 — 누적 기록 (OT2 종료)</t>
  </si>
  <si>
    <t>Q1 17-8  Q2 20-17  Q3 15-16  Q4 12-25  OT1 7-7  OT2 12-5</t>
  </si>
  <si>
    <t>김별</t>
  </si>
  <si>
    <t>15:11</t>
  </si>
  <si>
    <t>황우진</t>
  </si>
  <si>
    <t>33:18</t>
  </si>
  <si>
    <t>설도이</t>
  </si>
  <si>
    <t>35:21</t>
  </si>
  <si>
    <t>최양선</t>
  </si>
  <si>
    <t>김윤</t>
  </si>
  <si>
    <t>권순우</t>
  </si>
  <si>
    <t>22:54</t>
  </si>
  <si>
    <t>이제열</t>
  </si>
  <si>
    <t>16:46</t>
  </si>
  <si>
    <t>이광욱</t>
  </si>
  <si>
    <t>5:11</t>
  </si>
  <si>
    <t>최정의</t>
  </si>
  <si>
    <t>10:02</t>
  </si>
  <si>
    <t>박한</t>
  </si>
  <si>
    <t>14:54</t>
  </si>
  <si>
    <t>이정형</t>
  </si>
  <si>
    <t>16:27</t>
  </si>
  <si>
    <t>안홍석</t>
  </si>
  <si>
    <t>라이징이글스 vs 제이크루 — OT2 구간 기록</t>
  </si>
  <si>
    <t>OT2 5 : 12</t>
  </si>
  <si>
    <t>OT1 종료 70 : 70 → OT2 종료 75 : 82  (MIN/+/- 미집계)</t>
  </si>
  <si>
    <t>5:00</t>
  </si>
  <si>
    <t>제이크루 vs 라이징이글스 — OT2 구간 기록</t>
  </si>
  <si>
    <t>OT2 12 :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</si>
</sst>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+0;\-0;0"/>
  </numFmts>
  <fonts count="13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sz val="10"/>
      <color rgb="FF555555"/>
      <name val="맑은 고딕"/>
      <family val="3"/>
      <charset val="129"/>
    </font>
    <font>
      <b/>
      <sz val="12"/>
      <color rgb="FFE31B23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i/>
      <sz val="10"/>
      <color rgb="FF88888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4"/>
      <name val="맑은 고딕"/>
      <family val="3"/>
      <charset val="129"/>
    </font>
    <font>
      <sz val="10"/>
      <color rgb="FF555555"/>
      <name val="맑은 고딕"/>
      <family val="3"/>
      <charset val="129"/>
    </font>
    <font>
      <b/>
      <sz val="12"/>
      <color rgb="FFE31B23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B3C87"/>
      </patternFill>
    </fill>
    <fill>
      <patternFill patternType="solid">
        <fgColor rgb="FFE31B23"/>
      </patternFill>
    </fill>
    <fill>
      <patternFill patternType="solid">
        <fgColor rgb="FF1B3C87"/>
      </patternFill>
    </fill>
    <fill>
      <patternFill patternType="solid">
        <fgColor rgb="FFE31B23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9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9" fontId="4" fillId="3" borderId="1" xfId="0" applyNumberFormat="1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4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9" fontId="12" fillId="0" borderId="2" xfId="0" applyNumberFormat="1" applyFont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left" vertical="center"/>
    </xf>
    <xf numFmtId="9" fontId="11" fillId="5" borderId="2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"/>
  <sheetViews>
    <sheetView workbookViewId="0">
      <selection activeCell="B8" sqref="B8"/>
    </sheetView>
  </sheetViews>
  <sheetFormatPr defaultRowHeight="17.399999999999999" x14ac:dyDescent="0.4"/>
  <cols>
    <col min="1" max="1" width="5" customWidth="1"/>
    <col min="2" max="2" width="10" customWidth="1"/>
    <col min="3" max="3" width="8" customWidth="1"/>
    <col min="4" max="6" width="6" customWidth="1"/>
    <col min="7" max="7" width="7" customWidth="1"/>
    <col min="8" max="9" width="6" customWidth="1"/>
    <col min="10" max="10" width="7" customWidth="1"/>
    <col min="11" max="12" width="6" customWidth="1"/>
    <col min="13" max="13" width="7" customWidth="1"/>
    <col min="14" max="15" width="5" customWidth="1"/>
    <col min="16" max="21" width="6" customWidth="1"/>
    <col min="22" max="22" width="7" customWidth="1"/>
  </cols>
  <sheetData>
    <row r="1" spans="1:22" ht="21" customHeight="1" x14ac:dyDescent="0.45">
      <c r="A1" s="1" t="s">
        <v>0</v>
      </c>
      <c r="D1" s="2" t="s">
        <v>1</v>
      </c>
    </row>
    <row r="2" spans="1:22" ht="19.2" customHeight="1" x14ac:dyDescent="0.45">
      <c r="A2" s="3" t="s">
        <v>2</v>
      </c>
      <c r="D2" s="2" t="s">
        <v>3</v>
      </c>
    </row>
    <row r="4" spans="1:22" ht="22.05" customHeight="1" x14ac:dyDescent="0.4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</row>
    <row r="5" spans="1:22" x14ac:dyDescent="0.4">
      <c r="A5" s="5">
        <v>6</v>
      </c>
      <c r="B5" s="6" t="s">
        <v>26</v>
      </c>
      <c r="C5" s="5" t="s">
        <v>27</v>
      </c>
      <c r="D5" s="5">
        <v>2</v>
      </c>
      <c r="E5" s="5">
        <v>1</v>
      </c>
      <c r="F5" s="5">
        <v>4</v>
      </c>
      <c r="G5" s="7">
        <f t="shared" ref="G5:G14" si="0">IFERROR(E5/F5,0)</f>
        <v>0.25</v>
      </c>
      <c r="H5" s="5">
        <v>0</v>
      </c>
      <c r="I5" s="5">
        <v>0</v>
      </c>
      <c r="J5" s="7">
        <f t="shared" ref="J5:J14" si="1">IFERROR(H5/I5,0)</f>
        <v>0</v>
      </c>
      <c r="K5" s="5">
        <v>0</v>
      </c>
      <c r="L5" s="5">
        <v>0</v>
      </c>
      <c r="M5" s="7">
        <f t="shared" ref="M5:M14" si="2">IFERROR(K5/L5,0)</f>
        <v>0</v>
      </c>
      <c r="N5" s="5">
        <v>1</v>
      </c>
      <c r="O5" s="5">
        <v>0</v>
      </c>
      <c r="P5" s="5">
        <f t="shared" ref="P5:P14" si="3">N5+O5</f>
        <v>1</v>
      </c>
      <c r="Q5" s="5">
        <v>0</v>
      </c>
      <c r="R5" s="5">
        <v>1</v>
      </c>
      <c r="S5" s="5">
        <v>0</v>
      </c>
      <c r="T5" s="5">
        <v>0</v>
      </c>
      <c r="U5" s="5">
        <v>1</v>
      </c>
      <c r="V5" s="8">
        <v>-6</v>
      </c>
    </row>
    <row r="6" spans="1:22" x14ac:dyDescent="0.4">
      <c r="A6" s="5">
        <v>7</v>
      </c>
      <c r="B6" s="6" t="s">
        <v>28</v>
      </c>
      <c r="C6" s="5" t="s">
        <v>29</v>
      </c>
      <c r="D6" s="5">
        <v>20</v>
      </c>
      <c r="E6" s="5">
        <v>5</v>
      </c>
      <c r="F6" s="5">
        <v>20</v>
      </c>
      <c r="G6" s="7">
        <f t="shared" si="0"/>
        <v>0.25</v>
      </c>
      <c r="H6" s="5">
        <v>1</v>
      </c>
      <c r="I6" s="5">
        <v>3</v>
      </c>
      <c r="J6" s="7">
        <f t="shared" si="1"/>
        <v>0.33333333333333331</v>
      </c>
      <c r="K6" s="5">
        <v>9</v>
      </c>
      <c r="L6" s="5">
        <v>10</v>
      </c>
      <c r="M6" s="7">
        <f t="shared" si="2"/>
        <v>0.9</v>
      </c>
      <c r="N6" s="5">
        <v>0</v>
      </c>
      <c r="O6" s="5">
        <v>3</v>
      </c>
      <c r="P6" s="5">
        <f t="shared" si="3"/>
        <v>3</v>
      </c>
      <c r="Q6" s="5">
        <v>5</v>
      </c>
      <c r="R6" s="5">
        <v>0</v>
      </c>
      <c r="S6" s="5">
        <v>0</v>
      </c>
      <c r="T6" s="5">
        <v>3</v>
      </c>
      <c r="U6" s="5">
        <v>3</v>
      </c>
      <c r="V6" s="8">
        <v>1</v>
      </c>
    </row>
    <row r="7" spans="1:22" x14ac:dyDescent="0.4">
      <c r="A7" s="5">
        <v>10</v>
      </c>
      <c r="B7" s="6" t="s">
        <v>30</v>
      </c>
      <c r="C7" s="5" t="s">
        <v>31</v>
      </c>
      <c r="D7" s="5">
        <v>22</v>
      </c>
      <c r="E7" s="5">
        <v>7</v>
      </c>
      <c r="F7" s="5">
        <v>20</v>
      </c>
      <c r="G7" s="7">
        <f t="shared" si="0"/>
        <v>0.35</v>
      </c>
      <c r="H7" s="5">
        <v>0</v>
      </c>
      <c r="I7" s="5">
        <v>0</v>
      </c>
      <c r="J7" s="7">
        <f t="shared" si="1"/>
        <v>0</v>
      </c>
      <c r="K7" s="5">
        <v>8</v>
      </c>
      <c r="L7" s="5">
        <v>12</v>
      </c>
      <c r="M7" s="7">
        <f t="shared" si="2"/>
        <v>0.66666666666666663</v>
      </c>
      <c r="N7" s="5">
        <v>4</v>
      </c>
      <c r="O7" s="5">
        <v>10</v>
      </c>
      <c r="P7" s="5">
        <f t="shared" si="3"/>
        <v>14</v>
      </c>
      <c r="Q7" s="5">
        <v>3</v>
      </c>
      <c r="R7" s="5">
        <v>2</v>
      </c>
      <c r="S7" s="5">
        <v>0</v>
      </c>
      <c r="T7" s="5">
        <v>2</v>
      </c>
      <c r="U7" s="5">
        <v>1</v>
      </c>
      <c r="V7" s="8">
        <v>3</v>
      </c>
    </row>
    <row r="8" spans="1:22" x14ac:dyDescent="0.4">
      <c r="A8" s="5">
        <v>34</v>
      </c>
      <c r="B8" s="6" t="s">
        <v>32</v>
      </c>
      <c r="C8" s="5" t="s">
        <v>33</v>
      </c>
      <c r="D8" s="5">
        <v>3</v>
      </c>
      <c r="E8" s="5">
        <v>1</v>
      </c>
      <c r="F8" s="5">
        <v>7</v>
      </c>
      <c r="G8" s="7">
        <f t="shared" si="0"/>
        <v>0.14285714285714285</v>
      </c>
      <c r="H8" s="5">
        <v>0</v>
      </c>
      <c r="I8" s="5">
        <v>3</v>
      </c>
      <c r="J8" s="7">
        <f t="shared" si="1"/>
        <v>0</v>
      </c>
      <c r="K8" s="5">
        <v>1</v>
      </c>
      <c r="L8" s="5">
        <v>2</v>
      </c>
      <c r="M8" s="7">
        <f t="shared" si="2"/>
        <v>0.5</v>
      </c>
      <c r="N8" s="5">
        <v>1</v>
      </c>
      <c r="O8" s="5">
        <v>5</v>
      </c>
      <c r="P8" s="5">
        <f t="shared" si="3"/>
        <v>6</v>
      </c>
      <c r="Q8" s="5">
        <v>2</v>
      </c>
      <c r="R8" s="5">
        <v>0</v>
      </c>
      <c r="S8" s="5">
        <v>0</v>
      </c>
      <c r="T8" s="5">
        <v>1</v>
      </c>
      <c r="U8" s="5">
        <v>2</v>
      </c>
      <c r="V8" s="8">
        <v>-12</v>
      </c>
    </row>
    <row r="9" spans="1:22" x14ac:dyDescent="0.4">
      <c r="A9" s="5">
        <v>99</v>
      </c>
      <c r="B9" s="6" t="s">
        <v>34</v>
      </c>
      <c r="C9" s="5" t="s">
        <v>35</v>
      </c>
      <c r="D9" s="5">
        <v>2</v>
      </c>
      <c r="E9" s="5">
        <v>1</v>
      </c>
      <c r="F9" s="5">
        <v>3</v>
      </c>
      <c r="G9" s="7">
        <f t="shared" si="0"/>
        <v>0.33333333333333331</v>
      </c>
      <c r="H9" s="5">
        <v>0</v>
      </c>
      <c r="I9" s="5">
        <v>1</v>
      </c>
      <c r="J9" s="7">
        <f t="shared" si="1"/>
        <v>0</v>
      </c>
      <c r="K9" s="5">
        <v>0</v>
      </c>
      <c r="L9" s="5">
        <v>0</v>
      </c>
      <c r="M9" s="7">
        <f t="shared" si="2"/>
        <v>0</v>
      </c>
      <c r="N9" s="5">
        <v>1</v>
      </c>
      <c r="O9" s="5">
        <v>1</v>
      </c>
      <c r="P9" s="5">
        <f t="shared" si="3"/>
        <v>2</v>
      </c>
      <c r="Q9" s="5">
        <v>0</v>
      </c>
      <c r="R9" s="5">
        <v>1</v>
      </c>
      <c r="S9" s="5">
        <v>0</v>
      </c>
      <c r="T9" s="5">
        <v>0</v>
      </c>
      <c r="U9" s="5">
        <v>1</v>
      </c>
      <c r="V9" s="8">
        <v>1</v>
      </c>
    </row>
    <row r="10" spans="1:22" x14ac:dyDescent="0.4">
      <c r="A10" s="5">
        <v>1</v>
      </c>
      <c r="B10" s="6" t="s">
        <v>36</v>
      </c>
      <c r="C10" s="5" t="s">
        <v>29</v>
      </c>
      <c r="D10" s="5">
        <v>22</v>
      </c>
      <c r="E10" s="5">
        <v>8</v>
      </c>
      <c r="F10" s="5">
        <v>22</v>
      </c>
      <c r="G10" s="7">
        <f t="shared" si="0"/>
        <v>0.36363636363636365</v>
      </c>
      <c r="H10" s="5">
        <v>2</v>
      </c>
      <c r="I10" s="5">
        <v>10</v>
      </c>
      <c r="J10" s="7">
        <f t="shared" si="1"/>
        <v>0.2</v>
      </c>
      <c r="K10" s="5">
        <v>4</v>
      </c>
      <c r="L10" s="5">
        <v>8</v>
      </c>
      <c r="M10" s="7">
        <f t="shared" si="2"/>
        <v>0.5</v>
      </c>
      <c r="N10" s="5">
        <v>1</v>
      </c>
      <c r="O10" s="5">
        <v>6</v>
      </c>
      <c r="P10" s="5">
        <f t="shared" si="3"/>
        <v>7</v>
      </c>
      <c r="Q10" s="5">
        <v>2</v>
      </c>
      <c r="R10" s="5">
        <v>2</v>
      </c>
      <c r="S10" s="5">
        <v>0</v>
      </c>
      <c r="T10" s="5">
        <v>5</v>
      </c>
      <c r="U10" s="5">
        <v>4</v>
      </c>
      <c r="V10" s="8">
        <v>9</v>
      </c>
    </row>
    <row r="11" spans="1:22" x14ac:dyDescent="0.4">
      <c r="A11" s="5">
        <v>3</v>
      </c>
      <c r="B11" s="6" t="s">
        <v>37</v>
      </c>
      <c r="C11" s="5" t="s">
        <v>38</v>
      </c>
      <c r="D11" s="5">
        <v>2</v>
      </c>
      <c r="E11" s="5">
        <v>1</v>
      </c>
      <c r="F11" s="5">
        <v>2</v>
      </c>
      <c r="G11" s="7">
        <f t="shared" si="0"/>
        <v>0.5</v>
      </c>
      <c r="H11" s="5">
        <v>0</v>
      </c>
      <c r="I11" s="5">
        <v>0</v>
      </c>
      <c r="J11" s="7">
        <f t="shared" si="1"/>
        <v>0</v>
      </c>
      <c r="K11" s="5">
        <v>0</v>
      </c>
      <c r="L11" s="5">
        <v>0</v>
      </c>
      <c r="M11" s="7">
        <f t="shared" si="2"/>
        <v>0</v>
      </c>
      <c r="N11" s="5">
        <v>5</v>
      </c>
      <c r="O11" s="5">
        <v>4</v>
      </c>
      <c r="P11" s="5">
        <f t="shared" si="3"/>
        <v>9</v>
      </c>
      <c r="Q11" s="5">
        <v>0</v>
      </c>
      <c r="R11" s="5">
        <v>0</v>
      </c>
      <c r="S11" s="5">
        <v>0</v>
      </c>
      <c r="T11" s="5">
        <v>0</v>
      </c>
      <c r="U11" s="5">
        <v>5</v>
      </c>
      <c r="V11" s="8">
        <v>17</v>
      </c>
    </row>
    <row r="12" spans="1:22" x14ac:dyDescent="0.4">
      <c r="A12" s="5">
        <v>14</v>
      </c>
      <c r="B12" s="6" t="s">
        <v>39</v>
      </c>
      <c r="C12" s="5" t="s">
        <v>40</v>
      </c>
      <c r="D12" s="5">
        <v>0</v>
      </c>
      <c r="E12" s="5">
        <v>0</v>
      </c>
      <c r="F12" s="5">
        <v>0</v>
      </c>
      <c r="G12" s="7">
        <f t="shared" si="0"/>
        <v>0</v>
      </c>
      <c r="H12" s="5">
        <v>0</v>
      </c>
      <c r="I12" s="5">
        <v>0</v>
      </c>
      <c r="J12" s="7">
        <f t="shared" si="1"/>
        <v>0</v>
      </c>
      <c r="K12" s="5">
        <v>0</v>
      </c>
      <c r="L12" s="5">
        <v>0</v>
      </c>
      <c r="M12" s="7">
        <f t="shared" si="2"/>
        <v>0</v>
      </c>
      <c r="N12" s="5">
        <v>0</v>
      </c>
      <c r="O12" s="5">
        <v>0</v>
      </c>
      <c r="P12" s="5">
        <f t="shared" si="3"/>
        <v>0</v>
      </c>
      <c r="Q12" s="5">
        <v>1</v>
      </c>
      <c r="R12" s="5">
        <v>1</v>
      </c>
      <c r="S12" s="5">
        <v>0</v>
      </c>
      <c r="T12" s="5">
        <v>0</v>
      </c>
      <c r="U12" s="5">
        <v>0</v>
      </c>
      <c r="V12" s="8">
        <v>-5</v>
      </c>
    </row>
    <row r="13" spans="1:22" x14ac:dyDescent="0.4">
      <c r="A13" s="5">
        <v>31</v>
      </c>
      <c r="B13" s="6" t="s">
        <v>41</v>
      </c>
      <c r="C13" s="5" t="s">
        <v>42</v>
      </c>
      <c r="D13" s="5">
        <v>0</v>
      </c>
      <c r="E13" s="5">
        <v>0</v>
      </c>
      <c r="F13" s="5">
        <v>0</v>
      </c>
      <c r="G13" s="7">
        <f t="shared" si="0"/>
        <v>0</v>
      </c>
      <c r="H13" s="5">
        <v>0</v>
      </c>
      <c r="I13" s="5">
        <v>0</v>
      </c>
      <c r="J13" s="7">
        <f t="shared" si="1"/>
        <v>0</v>
      </c>
      <c r="K13" s="5">
        <v>0</v>
      </c>
      <c r="L13" s="5">
        <v>0</v>
      </c>
      <c r="M13" s="7">
        <f t="shared" si="2"/>
        <v>0</v>
      </c>
      <c r="N13" s="5">
        <v>0</v>
      </c>
      <c r="O13" s="5">
        <v>1</v>
      </c>
      <c r="P13" s="5">
        <f t="shared" si="3"/>
        <v>1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8">
        <v>2</v>
      </c>
    </row>
    <row r="14" spans="1:22" x14ac:dyDescent="0.4">
      <c r="A14" s="5">
        <v>32</v>
      </c>
      <c r="B14" s="6" t="s">
        <v>43</v>
      </c>
      <c r="C14" s="5" t="s">
        <v>44</v>
      </c>
      <c r="D14" s="5">
        <v>2</v>
      </c>
      <c r="E14" s="5">
        <v>1</v>
      </c>
      <c r="F14" s="5">
        <v>1</v>
      </c>
      <c r="G14" s="7">
        <f t="shared" si="0"/>
        <v>1</v>
      </c>
      <c r="H14" s="5">
        <v>0</v>
      </c>
      <c r="I14" s="5">
        <v>0</v>
      </c>
      <c r="J14" s="7">
        <f t="shared" si="1"/>
        <v>0</v>
      </c>
      <c r="K14" s="5">
        <v>0</v>
      </c>
      <c r="L14" s="5">
        <v>0</v>
      </c>
      <c r="M14" s="7">
        <f t="shared" si="2"/>
        <v>0</v>
      </c>
      <c r="N14" s="5">
        <v>0</v>
      </c>
      <c r="O14" s="5">
        <v>2</v>
      </c>
      <c r="P14" s="5">
        <f t="shared" si="3"/>
        <v>2</v>
      </c>
      <c r="Q14" s="5">
        <v>0</v>
      </c>
      <c r="R14" s="5">
        <v>0</v>
      </c>
      <c r="S14" s="5">
        <v>1</v>
      </c>
      <c r="T14" s="5">
        <v>0</v>
      </c>
      <c r="U14" s="5">
        <v>3</v>
      </c>
      <c r="V14" s="8">
        <v>-10</v>
      </c>
    </row>
    <row r="15" spans="1:22" x14ac:dyDescent="0.4">
      <c r="A15" s="9">
        <v>13</v>
      </c>
      <c r="B15" s="10" t="s">
        <v>45</v>
      </c>
      <c r="C15" s="9" t="s">
        <v>46</v>
      </c>
      <c r="D15" s="9" t="s">
        <v>47</v>
      </c>
      <c r="E15" s="9" t="s">
        <v>47</v>
      </c>
      <c r="F15" s="9" t="s">
        <v>47</v>
      </c>
      <c r="G15" s="9" t="s">
        <v>47</v>
      </c>
      <c r="H15" s="9" t="s">
        <v>47</v>
      </c>
      <c r="I15" s="9" t="s">
        <v>47</v>
      </c>
      <c r="J15" s="9" t="s">
        <v>47</v>
      </c>
      <c r="K15" s="9" t="s">
        <v>47</v>
      </c>
      <c r="L15" s="9" t="s">
        <v>47</v>
      </c>
      <c r="M15" s="9" t="s">
        <v>47</v>
      </c>
      <c r="N15" s="9" t="s">
        <v>47</v>
      </c>
      <c r="O15" s="9" t="s">
        <v>47</v>
      </c>
      <c r="P15" s="9" t="s">
        <v>47</v>
      </c>
      <c r="Q15" s="9" t="s">
        <v>47</v>
      </c>
      <c r="R15" s="9" t="s">
        <v>47</v>
      </c>
      <c r="S15" s="9" t="s">
        <v>47</v>
      </c>
      <c r="T15" s="9" t="s">
        <v>47</v>
      </c>
      <c r="U15" s="9" t="s">
        <v>47</v>
      </c>
      <c r="V15" s="9" t="s">
        <v>47</v>
      </c>
    </row>
    <row r="16" spans="1:22" x14ac:dyDescent="0.4">
      <c r="A16" s="9">
        <v>15</v>
      </c>
      <c r="B16" s="10" t="s">
        <v>48</v>
      </c>
      <c r="C16" s="9" t="s">
        <v>46</v>
      </c>
      <c r="D16" s="9" t="s">
        <v>47</v>
      </c>
      <c r="E16" s="9" t="s">
        <v>47</v>
      </c>
      <c r="F16" s="9" t="s">
        <v>47</v>
      </c>
      <c r="G16" s="9" t="s">
        <v>47</v>
      </c>
      <c r="H16" s="9" t="s">
        <v>47</v>
      </c>
      <c r="I16" s="9" t="s">
        <v>47</v>
      </c>
      <c r="J16" s="9" t="s">
        <v>47</v>
      </c>
      <c r="K16" s="9" t="s">
        <v>47</v>
      </c>
      <c r="L16" s="9" t="s">
        <v>47</v>
      </c>
      <c r="M16" s="9" t="s">
        <v>47</v>
      </c>
      <c r="N16" s="9" t="s">
        <v>47</v>
      </c>
      <c r="O16" s="9" t="s">
        <v>47</v>
      </c>
      <c r="P16" s="9" t="s">
        <v>47</v>
      </c>
      <c r="Q16" s="9" t="s">
        <v>47</v>
      </c>
      <c r="R16" s="9" t="s">
        <v>47</v>
      </c>
      <c r="S16" s="9" t="s">
        <v>47</v>
      </c>
      <c r="T16" s="9" t="s">
        <v>47</v>
      </c>
      <c r="U16" s="9" t="s">
        <v>47</v>
      </c>
      <c r="V16" s="9" t="s">
        <v>47</v>
      </c>
    </row>
    <row r="17" spans="1:22" x14ac:dyDescent="0.4">
      <c r="A17" s="9">
        <v>21</v>
      </c>
      <c r="B17" s="10" t="s">
        <v>49</v>
      </c>
      <c r="C17" s="9" t="s">
        <v>46</v>
      </c>
      <c r="D17" s="9" t="s">
        <v>47</v>
      </c>
      <c r="E17" s="9" t="s">
        <v>47</v>
      </c>
      <c r="F17" s="9" t="s">
        <v>47</v>
      </c>
      <c r="G17" s="9" t="s">
        <v>47</v>
      </c>
      <c r="H17" s="9" t="s">
        <v>47</v>
      </c>
      <c r="I17" s="9" t="s">
        <v>47</v>
      </c>
      <c r="J17" s="9" t="s">
        <v>47</v>
      </c>
      <c r="K17" s="9" t="s">
        <v>47</v>
      </c>
      <c r="L17" s="9" t="s">
        <v>47</v>
      </c>
      <c r="M17" s="9" t="s">
        <v>47</v>
      </c>
      <c r="N17" s="9" t="s">
        <v>47</v>
      </c>
      <c r="O17" s="9" t="s">
        <v>47</v>
      </c>
      <c r="P17" s="9" t="s">
        <v>47</v>
      </c>
      <c r="Q17" s="9" t="s">
        <v>47</v>
      </c>
      <c r="R17" s="9" t="s">
        <v>47</v>
      </c>
      <c r="S17" s="9" t="s">
        <v>47</v>
      </c>
      <c r="T17" s="9" t="s">
        <v>47</v>
      </c>
      <c r="U17" s="9" t="s">
        <v>47</v>
      </c>
      <c r="V17" s="9" t="s">
        <v>47</v>
      </c>
    </row>
    <row r="18" spans="1:22" x14ac:dyDescent="0.4">
      <c r="A18" s="11"/>
      <c r="B18" s="12" t="s">
        <v>50</v>
      </c>
      <c r="C18" s="11" t="s">
        <v>51</v>
      </c>
      <c r="D18" s="11">
        <f>SUM(D5:D14)</f>
        <v>75</v>
      </c>
      <c r="E18" s="11">
        <f>SUM(E5:E14)</f>
        <v>25</v>
      </c>
      <c r="F18" s="11">
        <f>SUM(F5:F14)</f>
        <v>79</v>
      </c>
      <c r="G18" s="13">
        <f>IFERROR(E18/F18,0)</f>
        <v>0.31645569620253167</v>
      </c>
      <c r="H18" s="11">
        <f>SUM(H5:H14)</f>
        <v>3</v>
      </c>
      <c r="I18" s="11">
        <f>SUM(I5:I14)</f>
        <v>17</v>
      </c>
      <c r="J18" s="13">
        <f>IFERROR(H18/I18,0)</f>
        <v>0.17647058823529413</v>
      </c>
      <c r="K18" s="11">
        <f>SUM(K5:K14)</f>
        <v>22</v>
      </c>
      <c r="L18" s="11">
        <f>SUM(L5:L14)</f>
        <v>32</v>
      </c>
      <c r="M18" s="13">
        <f>IFERROR(K18/L18,0)</f>
        <v>0.6875</v>
      </c>
      <c r="N18" s="11">
        <f t="shared" ref="N18:U18" si="4">SUM(N5:N14)</f>
        <v>13</v>
      </c>
      <c r="O18" s="11">
        <f t="shared" si="4"/>
        <v>32</v>
      </c>
      <c r="P18" s="11">
        <f t="shared" si="4"/>
        <v>45</v>
      </c>
      <c r="Q18" s="11">
        <f t="shared" si="4"/>
        <v>13</v>
      </c>
      <c r="R18" s="11">
        <f t="shared" si="4"/>
        <v>7</v>
      </c>
      <c r="S18" s="11">
        <f t="shared" si="4"/>
        <v>1</v>
      </c>
      <c r="T18" s="11">
        <f t="shared" si="4"/>
        <v>11</v>
      </c>
      <c r="U18" s="11">
        <f t="shared" si="4"/>
        <v>20</v>
      </c>
      <c r="V18" s="11" t="s">
        <v>47</v>
      </c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7"/>
  <sheetViews>
    <sheetView workbookViewId="0">
      <selection activeCell="A2" sqref="A2"/>
    </sheetView>
  </sheetViews>
  <sheetFormatPr defaultRowHeight="17.399999999999999" x14ac:dyDescent="0.4"/>
  <cols>
    <col min="1" max="1" width="5" customWidth="1"/>
    <col min="2" max="2" width="10" customWidth="1"/>
    <col min="3" max="3" width="8" customWidth="1"/>
    <col min="4" max="6" width="6" customWidth="1"/>
    <col min="7" max="7" width="7" customWidth="1"/>
    <col min="8" max="9" width="6" customWidth="1"/>
    <col min="10" max="10" width="7" customWidth="1"/>
    <col min="11" max="12" width="6" customWidth="1"/>
    <col min="13" max="13" width="7" customWidth="1"/>
    <col min="14" max="15" width="5" customWidth="1"/>
    <col min="16" max="21" width="6" customWidth="1"/>
    <col min="22" max="22" width="7" customWidth="1"/>
  </cols>
  <sheetData>
    <row r="1" spans="1:22" ht="21" customHeight="1" x14ac:dyDescent="0.45">
      <c r="A1" s="1" t="s">
        <v>52</v>
      </c>
      <c r="D1" s="2" t="s">
        <v>1</v>
      </c>
    </row>
    <row r="2" spans="1:22" ht="19.2" customHeight="1" x14ac:dyDescent="0.45">
      <c r="A2" s="3" t="s">
        <v>2</v>
      </c>
      <c r="D2" s="2" t="s">
        <v>53</v>
      </c>
    </row>
    <row r="4" spans="1:22" ht="22.05" customHeight="1" x14ac:dyDescent="0.4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</row>
    <row r="5" spans="1:22" x14ac:dyDescent="0.4">
      <c r="A5" s="5">
        <v>8</v>
      </c>
      <c r="B5" s="6" t="s">
        <v>54</v>
      </c>
      <c r="C5" s="5" t="s">
        <v>55</v>
      </c>
      <c r="D5" s="5">
        <v>0</v>
      </c>
      <c r="E5" s="5">
        <v>0</v>
      </c>
      <c r="F5" s="5">
        <v>4</v>
      </c>
      <c r="G5" s="7">
        <f t="shared" ref="G5:G15" si="0">IFERROR(E5/F5,0)</f>
        <v>0</v>
      </c>
      <c r="H5" s="5">
        <v>0</v>
      </c>
      <c r="I5" s="5">
        <v>4</v>
      </c>
      <c r="J5" s="7">
        <f t="shared" ref="J5:J15" si="1">IFERROR(H5/I5,0)</f>
        <v>0</v>
      </c>
      <c r="K5" s="5">
        <v>0</v>
      </c>
      <c r="L5" s="5">
        <v>0</v>
      </c>
      <c r="M5" s="7">
        <f t="shared" ref="M5:M15" si="2">IFERROR(K5/L5,0)</f>
        <v>0</v>
      </c>
      <c r="N5" s="5">
        <v>0</v>
      </c>
      <c r="O5" s="5">
        <v>2</v>
      </c>
      <c r="P5" s="5">
        <f t="shared" ref="P5:P15" si="3">N5+O5</f>
        <v>2</v>
      </c>
      <c r="Q5" s="5">
        <v>1</v>
      </c>
      <c r="R5" s="5">
        <v>0</v>
      </c>
      <c r="S5" s="5">
        <v>1</v>
      </c>
      <c r="T5" s="5">
        <v>1</v>
      </c>
      <c r="U5" s="5">
        <v>1</v>
      </c>
      <c r="V5" s="8">
        <v>3</v>
      </c>
    </row>
    <row r="6" spans="1:22" x14ac:dyDescent="0.4">
      <c r="A6" s="5">
        <v>13</v>
      </c>
      <c r="B6" s="6" t="s">
        <v>56</v>
      </c>
      <c r="C6" s="5" t="s">
        <v>57</v>
      </c>
      <c r="D6" s="5">
        <v>17</v>
      </c>
      <c r="E6" s="5">
        <v>7</v>
      </c>
      <c r="F6" s="5">
        <v>13</v>
      </c>
      <c r="G6" s="7">
        <f t="shared" si="0"/>
        <v>0.53846153846153844</v>
      </c>
      <c r="H6" s="5">
        <v>0</v>
      </c>
      <c r="I6" s="5">
        <v>0</v>
      </c>
      <c r="J6" s="7">
        <f t="shared" si="1"/>
        <v>0</v>
      </c>
      <c r="K6" s="5">
        <v>3</v>
      </c>
      <c r="L6" s="5">
        <v>4</v>
      </c>
      <c r="M6" s="7">
        <f t="shared" si="2"/>
        <v>0.75</v>
      </c>
      <c r="N6" s="5">
        <v>1</v>
      </c>
      <c r="O6" s="5">
        <v>4</v>
      </c>
      <c r="P6" s="5">
        <f t="shared" si="3"/>
        <v>5</v>
      </c>
      <c r="Q6" s="5">
        <v>2</v>
      </c>
      <c r="R6" s="5">
        <v>1</v>
      </c>
      <c r="S6" s="5">
        <v>0</v>
      </c>
      <c r="T6" s="5">
        <v>2</v>
      </c>
      <c r="U6" s="5">
        <v>2</v>
      </c>
      <c r="V6" s="8">
        <v>3</v>
      </c>
    </row>
    <row r="7" spans="1:22" x14ac:dyDescent="0.4">
      <c r="A7" s="5">
        <v>20</v>
      </c>
      <c r="B7" s="6" t="s">
        <v>58</v>
      </c>
      <c r="C7" s="5" t="s">
        <v>59</v>
      </c>
      <c r="D7" s="5">
        <v>17</v>
      </c>
      <c r="E7" s="5">
        <v>6</v>
      </c>
      <c r="F7" s="5">
        <v>13</v>
      </c>
      <c r="G7" s="7">
        <f t="shared" si="0"/>
        <v>0.46153846153846156</v>
      </c>
      <c r="H7" s="5">
        <v>4</v>
      </c>
      <c r="I7" s="5">
        <v>10</v>
      </c>
      <c r="J7" s="7">
        <f t="shared" si="1"/>
        <v>0.4</v>
      </c>
      <c r="K7" s="5">
        <v>1</v>
      </c>
      <c r="L7" s="5">
        <v>2</v>
      </c>
      <c r="M7" s="7">
        <f t="shared" si="2"/>
        <v>0.5</v>
      </c>
      <c r="N7" s="5">
        <v>3</v>
      </c>
      <c r="O7" s="5">
        <v>4</v>
      </c>
      <c r="P7" s="5">
        <f t="shared" si="3"/>
        <v>7</v>
      </c>
      <c r="Q7" s="5">
        <v>6</v>
      </c>
      <c r="R7" s="5">
        <v>0</v>
      </c>
      <c r="S7" s="5">
        <v>0</v>
      </c>
      <c r="T7" s="5">
        <v>3</v>
      </c>
      <c r="U7" s="5">
        <v>2</v>
      </c>
      <c r="V7" s="8">
        <v>7</v>
      </c>
    </row>
    <row r="8" spans="1:22" x14ac:dyDescent="0.4">
      <c r="A8" s="5">
        <v>23</v>
      </c>
      <c r="B8" s="6" t="s">
        <v>60</v>
      </c>
      <c r="C8" s="5" t="s">
        <v>29</v>
      </c>
      <c r="D8" s="5">
        <v>21</v>
      </c>
      <c r="E8" s="5">
        <v>8</v>
      </c>
      <c r="F8" s="5">
        <v>22</v>
      </c>
      <c r="G8" s="7">
        <f t="shared" si="0"/>
        <v>0.36363636363636365</v>
      </c>
      <c r="H8" s="5">
        <v>3</v>
      </c>
      <c r="I8" s="5">
        <v>10</v>
      </c>
      <c r="J8" s="7">
        <f t="shared" si="1"/>
        <v>0.3</v>
      </c>
      <c r="K8" s="5">
        <v>2</v>
      </c>
      <c r="L8" s="5">
        <v>4</v>
      </c>
      <c r="M8" s="7">
        <f t="shared" si="2"/>
        <v>0.5</v>
      </c>
      <c r="N8" s="5">
        <v>1</v>
      </c>
      <c r="O8" s="5">
        <v>4</v>
      </c>
      <c r="P8" s="5">
        <f t="shared" si="3"/>
        <v>5</v>
      </c>
      <c r="Q8" s="5">
        <v>4</v>
      </c>
      <c r="R8" s="5">
        <v>1</v>
      </c>
      <c r="S8" s="5">
        <v>2</v>
      </c>
      <c r="T8" s="5">
        <v>1</v>
      </c>
      <c r="U8" s="5">
        <v>3</v>
      </c>
      <c r="V8" s="8">
        <v>-1</v>
      </c>
    </row>
    <row r="9" spans="1:22" x14ac:dyDescent="0.4">
      <c r="A9" s="5">
        <v>88</v>
      </c>
      <c r="B9" s="6" t="s">
        <v>61</v>
      </c>
      <c r="C9" s="5" t="s">
        <v>29</v>
      </c>
      <c r="D9" s="5">
        <v>9</v>
      </c>
      <c r="E9" s="5">
        <v>3</v>
      </c>
      <c r="F9" s="5">
        <v>8</v>
      </c>
      <c r="G9" s="7">
        <f t="shared" si="0"/>
        <v>0.375</v>
      </c>
      <c r="H9" s="5">
        <v>0</v>
      </c>
      <c r="I9" s="5">
        <v>0</v>
      </c>
      <c r="J9" s="7">
        <f t="shared" si="1"/>
        <v>0</v>
      </c>
      <c r="K9" s="5">
        <v>3</v>
      </c>
      <c r="L9" s="5">
        <v>4</v>
      </c>
      <c r="M9" s="7">
        <f t="shared" si="2"/>
        <v>0.75</v>
      </c>
      <c r="N9" s="5">
        <v>6</v>
      </c>
      <c r="O9" s="5">
        <v>10</v>
      </c>
      <c r="P9" s="5">
        <f t="shared" si="3"/>
        <v>16</v>
      </c>
      <c r="Q9" s="5">
        <v>4</v>
      </c>
      <c r="R9" s="5">
        <v>1</v>
      </c>
      <c r="S9" s="5">
        <v>0</v>
      </c>
      <c r="T9" s="5">
        <v>1</v>
      </c>
      <c r="U9" s="5">
        <v>3</v>
      </c>
      <c r="V9" s="8">
        <v>-3</v>
      </c>
    </row>
    <row r="10" spans="1:22" x14ac:dyDescent="0.4">
      <c r="A10" s="5">
        <v>2</v>
      </c>
      <c r="B10" s="6" t="s">
        <v>62</v>
      </c>
      <c r="C10" s="5" t="s">
        <v>63</v>
      </c>
      <c r="D10" s="5">
        <v>0</v>
      </c>
      <c r="E10" s="5">
        <v>0</v>
      </c>
      <c r="F10" s="5">
        <v>4</v>
      </c>
      <c r="G10" s="7">
        <f t="shared" si="0"/>
        <v>0</v>
      </c>
      <c r="H10" s="5">
        <v>0</v>
      </c>
      <c r="I10" s="5">
        <v>2</v>
      </c>
      <c r="J10" s="7">
        <f t="shared" si="1"/>
        <v>0</v>
      </c>
      <c r="K10" s="5">
        <v>0</v>
      </c>
      <c r="L10" s="5">
        <v>0</v>
      </c>
      <c r="M10" s="7">
        <f t="shared" si="2"/>
        <v>0</v>
      </c>
      <c r="N10" s="5">
        <v>0</v>
      </c>
      <c r="O10" s="5">
        <v>3</v>
      </c>
      <c r="P10" s="5">
        <f t="shared" si="3"/>
        <v>3</v>
      </c>
      <c r="Q10" s="5">
        <v>0</v>
      </c>
      <c r="R10" s="5">
        <v>1</v>
      </c>
      <c r="S10" s="5">
        <v>0</v>
      </c>
      <c r="T10" s="5">
        <v>0</v>
      </c>
      <c r="U10" s="5">
        <v>5</v>
      </c>
      <c r="V10" s="8">
        <v>2</v>
      </c>
    </row>
    <row r="11" spans="1:22" x14ac:dyDescent="0.4">
      <c r="A11" s="5">
        <v>5</v>
      </c>
      <c r="B11" s="6" t="s">
        <v>64</v>
      </c>
      <c r="C11" s="5" t="s">
        <v>65</v>
      </c>
      <c r="D11" s="5">
        <v>0</v>
      </c>
      <c r="E11" s="5">
        <v>0</v>
      </c>
      <c r="F11" s="5">
        <v>2</v>
      </c>
      <c r="G11" s="7">
        <f t="shared" si="0"/>
        <v>0</v>
      </c>
      <c r="H11" s="5">
        <v>0</v>
      </c>
      <c r="I11" s="5">
        <v>0</v>
      </c>
      <c r="J11" s="7">
        <f t="shared" si="1"/>
        <v>0</v>
      </c>
      <c r="K11" s="5">
        <v>0</v>
      </c>
      <c r="L11" s="5">
        <v>0</v>
      </c>
      <c r="M11" s="7">
        <f t="shared" si="2"/>
        <v>0</v>
      </c>
      <c r="N11" s="5">
        <v>1</v>
      </c>
      <c r="O11" s="5">
        <v>2</v>
      </c>
      <c r="P11" s="5">
        <f t="shared" si="3"/>
        <v>3</v>
      </c>
      <c r="Q11" s="5">
        <v>0</v>
      </c>
      <c r="R11" s="5">
        <v>2</v>
      </c>
      <c r="S11" s="5">
        <v>0</v>
      </c>
      <c r="T11" s="5">
        <v>3</v>
      </c>
      <c r="U11" s="5">
        <v>1</v>
      </c>
      <c r="V11" s="8">
        <v>-10</v>
      </c>
    </row>
    <row r="12" spans="1:22" x14ac:dyDescent="0.4">
      <c r="A12" s="5">
        <v>7</v>
      </c>
      <c r="B12" s="6" t="s">
        <v>66</v>
      </c>
      <c r="C12" s="5" t="s">
        <v>67</v>
      </c>
      <c r="D12" s="5">
        <v>0</v>
      </c>
      <c r="E12" s="5">
        <v>0</v>
      </c>
      <c r="F12" s="5">
        <v>2</v>
      </c>
      <c r="G12" s="7">
        <f t="shared" si="0"/>
        <v>0</v>
      </c>
      <c r="H12" s="5">
        <v>0</v>
      </c>
      <c r="I12" s="5">
        <v>1</v>
      </c>
      <c r="J12" s="7">
        <f t="shared" si="1"/>
        <v>0</v>
      </c>
      <c r="K12" s="5">
        <v>0</v>
      </c>
      <c r="L12" s="5">
        <v>0</v>
      </c>
      <c r="M12" s="7">
        <f t="shared" si="2"/>
        <v>0</v>
      </c>
      <c r="N12" s="5">
        <v>0</v>
      </c>
      <c r="O12" s="5">
        <v>0</v>
      </c>
      <c r="P12" s="5">
        <f t="shared" si="3"/>
        <v>0</v>
      </c>
      <c r="Q12" s="5">
        <v>1</v>
      </c>
      <c r="R12" s="5">
        <v>0</v>
      </c>
      <c r="S12" s="5">
        <v>0</v>
      </c>
      <c r="T12" s="5">
        <v>0</v>
      </c>
      <c r="U12" s="5">
        <v>3</v>
      </c>
      <c r="V12" s="8">
        <v>-2</v>
      </c>
    </row>
    <row r="13" spans="1:22" x14ac:dyDescent="0.4">
      <c r="A13" s="5">
        <v>22</v>
      </c>
      <c r="B13" s="6" t="s">
        <v>68</v>
      </c>
      <c r="C13" s="5" t="s">
        <v>69</v>
      </c>
      <c r="D13" s="5">
        <v>0</v>
      </c>
      <c r="E13" s="5">
        <v>0</v>
      </c>
      <c r="F13" s="5">
        <v>1</v>
      </c>
      <c r="G13" s="7">
        <f t="shared" si="0"/>
        <v>0</v>
      </c>
      <c r="H13" s="5">
        <v>0</v>
      </c>
      <c r="I13" s="5">
        <v>0</v>
      </c>
      <c r="J13" s="7">
        <f t="shared" si="1"/>
        <v>0</v>
      </c>
      <c r="K13" s="5">
        <v>0</v>
      </c>
      <c r="L13" s="5">
        <v>0</v>
      </c>
      <c r="M13" s="7">
        <f t="shared" si="2"/>
        <v>0</v>
      </c>
      <c r="N13" s="5">
        <v>0</v>
      </c>
      <c r="O13" s="5">
        <v>1</v>
      </c>
      <c r="P13" s="5">
        <f t="shared" si="3"/>
        <v>1</v>
      </c>
      <c r="Q13" s="5">
        <v>0</v>
      </c>
      <c r="R13" s="5">
        <v>0</v>
      </c>
      <c r="S13" s="5">
        <v>0</v>
      </c>
      <c r="T13" s="5">
        <v>0</v>
      </c>
      <c r="U13" s="5">
        <v>2</v>
      </c>
      <c r="V13" s="8">
        <v>3</v>
      </c>
    </row>
    <row r="14" spans="1:22" x14ac:dyDescent="0.4">
      <c r="A14" s="5">
        <v>29</v>
      </c>
      <c r="B14" s="6" t="s">
        <v>70</v>
      </c>
      <c r="C14" s="5" t="s">
        <v>71</v>
      </c>
      <c r="D14" s="5">
        <v>6</v>
      </c>
      <c r="E14" s="5">
        <v>3</v>
      </c>
      <c r="F14" s="5">
        <v>5</v>
      </c>
      <c r="G14" s="7">
        <f t="shared" si="0"/>
        <v>0.6</v>
      </c>
      <c r="H14" s="5">
        <v>0</v>
      </c>
      <c r="I14" s="5">
        <v>0</v>
      </c>
      <c r="J14" s="7">
        <f t="shared" si="1"/>
        <v>0</v>
      </c>
      <c r="K14" s="5">
        <v>0</v>
      </c>
      <c r="L14" s="5">
        <v>0</v>
      </c>
      <c r="M14" s="7">
        <f t="shared" si="2"/>
        <v>0</v>
      </c>
      <c r="N14" s="5">
        <v>2</v>
      </c>
      <c r="O14" s="5">
        <v>1</v>
      </c>
      <c r="P14" s="5">
        <f t="shared" si="3"/>
        <v>3</v>
      </c>
      <c r="Q14" s="5">
        <v>1</v>
      </c>
      <c r="R14" s="5">
        <v>0</v>
      </c>
      <c r="S14" s="5">
        <v>0</v>
      </c>
      <c r="T14" s="5">
        <v>0</v>
      </c>
      <c r="U14" s="5">
        <v>2</v>
      </c>
      <c r="V14" s="8">
        <v>6</v>
      </c>
    </row>
    <row r="15" spans="1:22" x14ac:dyDescent="0.4">
      <c r="A15" s="5">
        <v>34</v>
      </c>
      <c r="B15" s="6" t="s">
        <v>72</v>
      </c>
      <c r="C15" s="5" t="s">
        <v>73</v>
      </c>
      <c r="D15" s="5">
        <v>12</v>
      </c>
      <c r="E15" s="5">
        <v>4</v>
      </c>
      <c r="F15" s="5">
        <v>6</v>
      </c>
      <c r="G15" s="7">
        <f t="shared" si="0"/>
        <v>0.66666666666666663</v>
      </c>
      <c r="H15" s="5">
        <v>0</v>
      </c>
      <c r="I15" s="5">
        <v>0</v>
      </c>
      <c r="J15" s="7">
        <f t="shared" si="1"/>
        <v>0</v>
      </c>
      <c r="K15" s="5">
        <v>4</v>
      </c>
      <c r="L15" s="5">
        <v>9</v>
      </c>
      <c r="M15" s="7">
        <f t="shared" si="2"/>
        <v>0.44444444444444442</v>
      </c>
      <c r="N15" s="5">
        <v>3</v>
      </c>
      <c r="O15" s="5">
        <v>6</v>
      </c>
      <c r="P15" s="5">
        <f t="shared" si="3"/>
        <v>9</v>
      </c>
      <c r="Q15" s="5">
        <v>1</v>
      </c>
      <c r="R15" s="5">
        <v>0</v>
      </c>
      <c r="S15" s="5">
        <v>0</v>
      </c>
      <c r="T15" s="5">
        <v>1</v>
      </c>
      <c r="U15" s="5">
        <v>1</v>
      </c>
      <c r="V15" s="8">
        <v>-8</v>
      </c>
    </row>
    <row r="16" spans="1:22" x14ac:dyDescent="0.4">
      <c r="A16" s="9">
        <v>0</v>
      </c>
      <c r="B16" s="10" t="s">
        <v>74</v>
      </c>
      <c r="C16" s="9" t="s">
        <v>46</v>
      </c>
      <c r="D16" s="9" t="s">
        <v>47</v>
      </c>
      <c r="E16" s="9" t="s">
        <v>47</v>
      </c>
      <c r="F16" s="9" t="s">
        <v>47</v>
      </c>
      <c r="G16" s="9" t="s">
        <v>47</v>
      </c>
      <c r="H16" s="9" t="s">
        <v>47</v>
      </c>
      <c r="I16" s="9" t="s">
        <v>47</v>
      </c>
      <c r="J16" s="9" t="s">
        <v>47</v>
      </c>
      <c r="K16" s="9" t="s">
        <v>47</v>
      </c>
      <c r="L16" s="9" t="s">
        <v>47</v>
      </c>
      <c r="M16" s="9" t="s">
        <v>47</v>
      </c>
      <c r="N16" s="9" t="s">
        <v>47</v>
      </c>
      <c r="O16" s="9" t="s">
        <v>47</v>
      </c>
      <c r="P16" s="9" t="s">
        <v>47</v>
      </c>
      <c r="Q16" s="9" t="s">
        <v>47</v>
      </c>
      <c r="R16" s="9" t="s">
        <v>47</v>
      </c>
      <c r="S16" s="9" t="s">
        <v>47</v>
      </c>
      <c r="T16" s="9" t="s">
        <v>47</v>
      </c>
      <c r="U16" s="9" t="s">
        <v>47</v>
      </c>
      <c r="V16" s="9" t="s">
        <v>47</v>
      </c>
    </row>
    <row r="17" spans="1:22" x14ac:dyDescent="0.4">
      <c r="A17" s="11"/>
      <c r="B17" s="12" t="s">
        <v>50</v>
      </c>
      <c r="C17" s="11" t="s">
        <v>51</v>
      </c>
      <c r="D17" s="11">
        <f>SUM(D5:D15)</f>
        <v>82</v>
      </c>
      <c r="E17" s="11">
        <f>SUM(E5:E15)</f>
        <v>31</v>
      </c>
      <c r="F17" s="11">
        <f>SUM(F5:F15)</f>
        <v>80</v>
      </c>
      <c r="G17" s="13">
        <f>IFERROR(E17/F17,0)</f>
        <v>0.38750000000000001</v>
      </c>
      <c r="H17" s="11">
        <f>SUM(H5:H15)</f>
        <v>7</v>
      </c>
      <c r="I17" s="11">
        <f>SUM(I5:I15)</f>
        <v>27</v>
      </c>
      <c r="J17" s="13">
        <f>IFERROR(H17/I17,0)</f>
        <v>0.25925925925925924</v>
      </c>
      <c r="K17" s="11">
        <f>SUM(K5:K15)</f>
        <v>13</v>
      </c>
      <c r="L17" s="11">
        <f>SUM(L5:L15)</f>
        <v>23</v>
      </c>
      <c r="M17" s="13">
        <f>IFERROR(K17/L17,0)</f>
        <v>0.56521739130434778</v>
      </c>
      <c r="N17" s="11">
        <f t="shared" ref="N17:U17" si="4">SUM(N5:N15)</f>
        <v>17</v>
      </c>
      <c r="O17" s="11">
        <f t="shared" si="4"/>
        <v>37</v>
      </c>
      <c r="P17" s="11">
        <f t="shared" si="4"/>
        <v>54</v>
      </c>
      <c r="Q17" s="11">
        <f t="shared" si="4"/>
        <v>20</v>
      </c>
      <c r="R17" s="11">
        <f t="shared" si="4"/>
        <v>6</v>
      </c>
      <c r="S17" s="11">
        <f t="shared" si="4"/>
        <v>3</v>
      </c>
      <c r="T17" s="11">
        <f t="shared" si="4"/>
        <v>12</v>
      </c>
      <c r="U17" s="11">
        <f t="shared" si="4"/>
        <v>25</v>
      </c>
      <c r="V17" s="11" t="s">
        <v>47</v>
      </c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5"/>
  <sheetViews>
    <sheetView tabSelected="1" workbookViewId="0">
      <selection activeCell="R17" sqref="R17"/>
    </sheetView>
  </sheetViews>
  <sheetFormatPr defaultRowHeight="17.399999999999999" x14ac:dyDescent="0.4"/>
  <cols>
    <col min="1" max="1" width="5" customWidth="1"/>
    <col min="2" max="2" width="10" customWidth="1"/>
    <col min="3" max="3" width="8" customWidth="1"/>
    <col min="4" max="6" width="6" customWidth="1"/>
    <col min="7" max="7" width="7" customWidth="1"/>
    <col min="8" max="9" width="6" customWidth="1"/>
    <col min="10" max="10" width="7" customWidth="1"/>
    <col min="11" max="12" width="6" customWidth="1"/>
    <col min="13" max="13" width="7" customWidth="1"/>
    <col min="14" max="15" width="5" customWidth="1"/>
    <col min="16" max="21" width="6" customWidth="1"/>
    <col min="22" max="22" width="7" customWidth="1"/>
  </cols>
  <sheetData>
    <row r="1" spans="1:22" ht="21" x14ac:dyDescent="0.45">
      <c r="A1" s="14" t="s">
        <v>75</v>
      </c>
      <c r="D1" s="15" t="s">
        <v>1</v>
      </c>
    </row>
    <row r="2" spans="1:22" ht="19.2" x14ac:dyDescent="0.45">
      <c r="A2" s="16" t="s">
        <v>76</v>
      </c>
      <c r="D2" s="15" t="s">
        <v>77</v>
      </c>
    </row>
    <row r="4" spans="1:22" ht="22.05" customHeight="1" x14ac:dyDescent="0.4">
      <c r="A4" s="17" t="s">
        <v>4</v>
      </c>
      <c r="B4" s="17" t="s">
        <v>5</v>
      </c>
      <c r="C4" s="17" t="s">
        <v>6</v>
      </c>
      <c r="D4" s="17" t="s">
        <v>7</v>
      </c>
      <c r="E4" s="17" t="s">
        <v>8</v>
      </c>
      <c r="F4" s="17" t="s">
        <v>9</v>
      </c>
      <c r="G4" s="17" t="s">
        <v>10</v>
      </c>
      <c r="H4" s="17" t="s">
        <v>11</v>
      </c>
      <c r="I4" s="17" t="s">
        <v>12</v>
      </c>
      <c r="J4" s="17" t="s">
        <v>13</v>
      </c>
      <c r="K4" s="17" t="s">
        <v>14</v>
      </c>
      <c r="L4" s="17" t="s">
        <v>15</v>
      </c>
      <c r="M4" s="17" t="s">
        <v>16</v>
      </c>
      <c r="N4" s="17" t="s">
        <v>17</v>
      </c>
      <c r="O4" s="17" t="s">
        <v>18</v>
      </c>
      <c r="P4" s="17" t="s">
        <v>19</v>
      </c>
      <c r="Q4" s="17" t="s">
        <v>20</v>
      </c>
      <c r="R4" s="17" t="s">
        <v>21</v>
      </c>
      <c r="S4" s="17" t="s">
        <v>22</v>
      </c>
      <c r="T4" s="17" t="s">
        <v>23</v>
      </c>
      <c r="U4" s="17" t="s">
        <v>24</v>
      </c>
      <c r="V4" s="17" t="s">
        <v>25</v>
      </c>
    </row>
    <row r="5" spans="1:22" x14ac:dyDescent="0.4">
      <c r="A5" s="18">
        <v>6</v>
      </c>
      <c r="B5" s="19" t="s">
        <v>26</v>
      </c>
      <c r="C5" s="18" t="s">
        <v>27</v>
      </c>
      <c r="D5" s="18">
        <v>0</v>
      </c>
      <c r="E5" s="18">
        <v>0</v>
      </c>
      <c r="F5" s="18">
        <v>0</v>
      </c>
      <c r="G5" s="20">
        <f t="shared" ref="G5:G15" si="0">IFERROR(E5/F5,0)</f>
        <v>0</v>
      </c>
      <c r="H5" s="18">
        <v>0</v>
      </c>
      <c r="I5" s="18">
        <v>0</v>
      </c>
      <c r="J5" s="20">
        <f t="shared" ref="J5:J15" si="1">IFERROR(H5/I5,0)</f>
        <v>0</v>
      </c>
      <c r="K5" s="18">
        <v>0</v>
      </c>
      <c r="L5" s="18">
        <v>0</v>
      </c>
      <c r="M5" s="20">
        <f t="shared" ref="M5:M15" si="2">IFERROR(K5/L5,0)</f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 t="s">
        <v>47</v>
      </c>
    </row>
    <row r="6" spans="1:22" x14ac:dyDescent="0.4">
      <c r="A6" s="18">
        <v>7</v>
      </c>
      <c r="B6" s="19" t="s">
        <v>28</v>
      </c>
      <c r="C6" s="18" t="s">
        <v>29</v>
      </c>
      <c r="D6" s="18">
        <v>3</v>
      </c>
      <c r="E6" s="18">
        <v>1</v>
      </c>
      <c r="F6" s="18">
        <v>4</v>
      </c>
      <c r="G6" s="20">
        <f t="shared" si="0"/>
        <v>0.25</v>
      </c>
      <c r="H6" s="18">
        <v>1</v>
      </c>
      <c r="I6" s="18">
        <v>1</v>
      </c>
      <c r="J6" s="20">
        <f t="shared" si="1"/>
        <v>1</v>
      </c>
      <c r="K6" s="18">
        <v>0</v>
      </c>
      <c r="L6" s="18">
        <v>0</v>
      </c>
      <c r="M6" s="20">
        <f t="shared" si="2"/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2</v>
      </c>
      <c r="U6" s="18">
        <v>1</v>
      </c>
      <c r="V6" s="18" t="s">
        <v>47</v>
      </c>
    </row>
    <row r="7" spans="1:22" x14ac:dyDescent="0.4">
      <c r="A7" s="18">
        <v>10</v>
      </c>
      <c r="B7" s="19" t="s">
        <v>30</v>
      </c>
      <c r="C7" s="18" t="s">
        <v>31</v>
      </c>
      <c r="D7" s="18">
        <v>2</v>
      </c>
      <c r="E7" s="18">
        <v>1</v>
      </c>
      <c r="F7" s="18">
        <v>3</v>
      </c>
      <c r="G7" s="20">
        <f t="shared" si="0"/>
        <v>0.33333333333333331</v>
      </c>
      <c r="H7" s="18">
        <v>0</v>
      </c>
      <c r="I7" s="18">
        <v>0</v>
      </c>
      <c r="J7" s="20">
        <f t="shared" si="1"/>
        <v>0</v>
      </c>
      <c r="K7" s="18">
        <v>0</v>
      </c>
      <c r="L7" s="18">
        <v>0</v>
      </c>
      <c r="M7" s="20">
        <f t="shared" si="2"/>
        <v>0</v>
      </c>
      <c r="N7" s="18">
        <v>1</v>
      </c>
      <c r="O7" s="18">
        <v>0</v>
      </c>
      <c r="P7" s="18">
        <v>1</v>
      </c>
      <c r="Q7" s="18">
        <v>0</v>
      </c>
      <c r="R7" s="18">
        <v>0</v>
      </c>
      <c r="S7" s="18">
        <v>0</v>
      </c>
      <c r="T7" s="18">
        <v>1</v>
      </c>
      <c r="U7" s="18">
        <v>0</v>
      </c>
      <c r="V7" s="18" t="s">
        <v>47</v>
      </c>
    </row>
    <row r="8" spans="1:22" x14ac:dyDescent="0.4">
      <c r="A8" s="18">
        <v>34</v>
      </c>
      <c r="B8" s="19" t="s">
        <v>32</v>
      </c>
      <c r="C8" s="18" t="s">
        <v>33</v>
      </c>
      <c r="D8" s="18">
        <v>0</v>
      </c>
      <c r="E8" s="18">
        <v>0</v>
      </c>
      <c r="F8" s="18">
        <v>0</v>
      </c>
      <c r="G8" s="20">
        <f t="shared" si="0"/>
        <v>0</v>
      </c>
      <c r="H8" s="18">
        <v>0</v>
      </c>
      <c r="I8" s="18">
        <v>0</v>
      </c>
      <c r="J8" s="20">
        <f t="shared" si="1"/>
        <v>0</v>
      </c>
      <c r="K8" s="18">
        <v>0</v>
      </c>
      <c r="L8" s="18">
        <v>0</v>
      </c>
      <c r="M8" s="20">
        <f t="shared" si="2"/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8" t="s">
        <v>47</v>
      </c>
    </row>
    <row r="9" spans="1:22" x14ac:dyDescent="0.4">
      <c r="A9" s="18">
        <v>99</v>
      </c>
      <c r="B9" s="19" t="s">
        <v>34</v>
      </c>
      <c r="C9" s="18" t="s">
        <v>35</v>
      </c>
      <c r="D9" s="18">
        <v>0</v>
      </c>
      <c r="E9" s="18">
        <v>0</v>
      </c>
      <c r="F9" s="18">
        <v>0</v>
      </c>
      <c r="G9" s="20">
        <f t="shared" si="0"/>
        <v>0</v>
      </c>
      <c r="H9" s="18">
        <v>0</v>
      </c>
      <c r="I9" s="18">
        <v>0</v>
      </c>
      <c r="J9" s="20">
        <f t="shared" si="1"/>
        <v>0</v>
      </c>
      <c r="K9" s="18">
        <v>0</v>
      </c>
      <c r="L9" s="18">
        <v>0</v>
      </c>
      <c r="M9" s="20">
        <f t="shared" si="2"/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 t="s">
        <v>47</v>
      </c>
    </row>
    <row r="10" spans="1:22" x14ac:dyDescent="0.4">
      <c r="A10" s="18">
        <v>1</v>
      </c>
      <c r="B10" s="19" t="s">
        <v>36</v>
      </c>
      <c r="C10" s="18" t="s">
        <v>29</v>
      </c>
      <c r="D10" s="18">
        <v>0</v>
      </c>
      <c r="E10" s="18">
        <v>0</v>
      </c>
      <c r="F10" s="18">
        <v>2</v>
      </c>
      <c r="G10" s="20">
        <f t="shared" si="0"/>
        <v>0</v>
      </c>
      <c r="H10" s="18">
        <v>0</v>
      </c>
      <c r="I10" s="18">
        <v>0</v>
      </c>
      <c r="J10" s="20">
        <f t="shared" si="1"/>
        <v>0</v>
      </c>
      <c r="K10" s="18">
        <v>0</v>
      </c>
      <c r="L10" s="18">
        <v>0</v>
      </c>
      <c r="M10" s="20">
        <f t="shared" si="2"/>
        <v>0</v>
      </c>
      <c r="N10" s="18">
        <v>0</v>
      </c>
      <c r="O10" s="18">
        <v>1</v>
      </c>
      <c r="P10" s="18">
        <v>1</v>
      </c>
      <c r="Q10" s="18">
        <v>0</v>
      </c>
      <c r="R10" s="18">
        <v>0</v>
      </c>
      <c r="S10" s="18">
        <v>0</v>
      </c>
      <c r="T10" s="18">
        <v>0</v>
      </c>
      <c r="U10" s="18">
        <v>2</v>
      </c>
      <c r="V10" s="18" t="s">
        <v>47</v>
      </c>
    </row>
    <row r="11" spans="1:22" x14ac:dyDescent="0.4">
      <c r="A11" s="18">
        <v>3</v>
      </c>
      <c r="B11" s="19" t="s">
        <v>37</v>
      </c>
      <c r="C11" s="18" t="s">
        <v>38</v>
      </c>
      <c r="D11" s="18">
        <v>0</v>
      </c>
      <c r="E11" s="18">
        <v>0</v>
      </c>
      <c r="F11" s="18">
        <v>0</v>
      </c>
      <c r="G11" s="20">
        <f t="shared" si="0"/>
        <v>0</v>
      </c>
      <c r="H11" s="18">
        <v>0</v>
      </c>
      <c r="I11" s="18">
        <v>0</v>
      </c>
      <c r="J11" s="20">
        <f t="shared" si="1"/>
        <v>0</v>
      </c>
      <c r="K11" s="18">
        <v>0</v>
      </c>
      <c r="L11" s="18">
        <v>0</v>
      </c>
      <c r="M11" s="20">
        <f t="shared" si="2"/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 t="s">
        <v>47</v>
      </c>
    </row>
    <row r="12" spans="1:22" x14ac:dyDescent="0.4">
      <c r="A12" s="18">
        <v>14</v>
      </c>
      <c r="B12" s="19" t="s">
        <v>39</v>
      </c>
      <c r="C12" s="18" t="s">
        <v>40</v>
      </c>
      <c r="D12" s="18">
        <v>0</v>
      </c>
      <c r="E12" s="18">
        <v>0</v>
      </c>
      <c r="F12" s="18">
        <v>0</v>
      </c>
      <c r="G12" s="20">
        <f t="shared" si="0"/>
        <v>0</v>
      </c>
      <c r="H12" s="18">
        <v>0</v>
      </c>
      <c r="I12" s="18">
        <v>0</v>
      </c>
      <c r="J12" s="20">
        <f t="shared" si="1"/>
        <v>0</v>
      </c>
      <c r="K12" s="18">
        <v>0</v>
      </c>
      <c r="L12" s="18">
        <v>0</v>
      </c>
      <c r="M12" s="20">
        <f t="shared" si="2"/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 t="s">
        <v>47</v>
      </c>
    </row>
    <row r="13" spans="1:22" x14ac:dyDescent="0.4">
      <c r="A13" s="18">
        <v>31</v>
      </c>
      <c r="B13" s="19" t="s">
        <v>41</v>
      </c>
      <c r="C13" s="18" t="s">
        <v>42</v>
      </c>
      <c r="D13" s="18">
        <v>0</v>
      </c>
      <c r="E13" s="18">
        <v>0</v>
      </c>
      <c r="F13" s="18">
        <v>0</v>
      </c>
      <c r="G13" s="20">
        <f t="shared" si="0"/>
        <v>0</v>
      </c>
      <c r="H13" s="18">
        <v>0</v>
      </c>
      <c r="I13" s="18">
        <v>0</v>
      </c>
      <c r="J13" s="20">
        <f t="shared" si="1"/>
        <v>0</v>
      </c>
      <c r="K13" s="18">
        <v>0</v>
      </c>
      <c r="L13" s="18">
        <v>0</v>
      </c>
      <c r="M13" s="20">
        <f t="shared" si="2"/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 t="s">
        <v>47</v>
      </c>
    </row>
    <row r="14" spans="1:22" x14ac:dyDescent="0.4">
      <c r="A14" s="18">
        <v>32</v>
      </c>
      <c r="B14" s="19" t="s">
        <v>43</v>
      </c>
      <c r="C14" s="18" t="s">
        <v>44</v>
      </c>
      <c r="D14" s="18">
        <v>0</v>
      </c>
      <c r="E14" s="18">
        <v>0</v>
      </c>
      <c r="F14" s="18">
        <v>0</v>
      </c>
      <c r="G14" s="20">
        <f t="shared" si="0"/>
        <v>0</v>
      </c>
      <c r="H14" s="18">
        <v>0</v>
      </c>
      <c r="I14" s="18">
        <v>0</v>
      </c>
      <c r="J14" s="20">
        <f t="shared" si="1"/>
        <v>0</v>
      </c>
      <c r="K14" s="18">
        <v>0</v>
      </c>
      <c r="L14" s="18">
        <v>0</v>
      </c>
      <c r="M14" s="20">
        <f t="shared" si="2"/>
        <v>0</v>
      </c>
      <c r="N14" s="18">
        <v>0</v>
      </c>
      <c r="O14" s="18">
        <v>1</v>
      </c>
      <c r="P14" s="18">
        <v>1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 t="s">
        <v>47</v>
      </c>
    </row>
    <row r="15" spans="1:22" x14ac:dyDescent="0.4">
      <c r="A15" s="21"/>
      <c r="B15" s="22" t="s">
        <v>50</v>
      </c>
      <c r="C15" s="21" t="s">
        <v>78</v>
      </c>
      <c r="D15" s="21">
        <f>SUM(D5:D14)</f>
        <v>5</v>
      </c>
      <c r="E15" s="21">
        <f>SUM(E5:E14)</f>
        <v>2</v>
      </c>
      <c r="F15" s="21">
        <f>SUM(F5:F14)</f>
        <v>9</v>
      </c>
      <c r="G15" s="23">
        <f t="shared" si="0"/>
        <v>0.22222222222222221</v>
      </c>
      <c r="H15" s="21">
        <f>SUM(H5:H14)</f>
        <v>1</v>
      </c>
      <c r="I15" s="21">
        <f>SUM(I5:I14)</f>
        <v>1</v>
      </c>
      <c r="J15" s="23">
        <f t="shared" si="1"/>
        <v>1</v>
      </c>
      <c r="K15" s="21">
        <f>SUM(K5:K14)</f>
        <v>0</v>
      </c>
      <c r="L15" s="21">
        <f>SUM(L5:L14)</f>
        <v>0</v>
      </c>
      <c r="M15" s="23">
        <f t="shared" si="2"/>
        <v>0</v>
      </c>
      <c r="N15" s="21">
        <f t="shared" ref="N15:U15" si="3">SUM(N5:N14)</f>
        <v>1</v>
      </c>
      <c r="O15" s="21">
        <f t="shared" si="3"/>
        <v>2</v>
      </c>
      <c r="P15" s="21">
        <f t="shared" si="3"/>
        <v>3</v>
      </c>
      <c r="Q15" s="21">
        <f t="shared" si="3"/>
        <v>0</v>
      </c>
      <c r="R15" s="21">
        <f t="shared" si="3"/>
        <v>0</v>
      </c>
      <c r="S15" s="21">
        <f t="shared" si="3"/>
        <v>0</v>
      </c>
      <c r="T15" s="21">
        <f t="shared" si="3"/>
        <v>3</v>
      </c>
      <c r="U15" s="21">
        <f t="shared" si="3"/>
        <v>3</v>
      </c>
      <c r="V15" s="21" t="s">
        <v>47</v>
      </c>
    </row>
  </sheetData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6"/>
  <sheetViews>
    <sheetView workbookViewId="0"/>
  </sheetViews>
  <sheetFormatPr defaultRowHeight="17.399999999999999" x14ac:dyDescent="0.4"/>
  <cols>
    <col min="1" max="1" width="5" customWidth="1"/>
    <col min="2" max="2" width="10" customWidth="1"/>
    <col min="3" max="3" width="8" customWidth="1"/>
    <col min="4" max="6" width="6" customWidth="1"/>
    <col min="7" max="7" width="7" customWidth="1"/>
    <col min="8" max="9" width="6" customWidth="1"/>
    <col min="10" max="10" width="7" customWidth="1"/>
    <col min="11" max="12" width="6" customWidth="1"/>
    <col min="13" max="13" width="7" customWidth="1"/>
    <col min="14" max="15" width="5" customWidth="1"/>
    <col min="16" max="21" width="6" customWidth="1"/>
    <col min="22" max="22" width="7" customWidth="1"/>
  </cols>
  <sheetData>
    <row r="1" spans="1:22" ht="21" x14ac:dyDescent="0.45">
      <c r="A1" s="14" t="s">
        <v>79</v>
      </c>
      <c r="D1" s="15" t="s">
        <v>1</v>
      </c>
    </row>
    <row r="2" spans="1:22" ht="19.2" x14ac:dyDescent="0.45">
      <c r="A2" s="16" t="s">
        <v>80</v>
      </c>
      <c r="D2" s="15" t="s">
        <v>77</v>
      </c>
    </row>
    <row r="4" spans="1:22" ht="22.05" customHeight="1" x14ac:dyDescent="0.4">
      <c r="A4" s="17" t="s">
        <v>4</v>
      </c>
      <c r="B4" s="17" t="s">
        <v>5</v>
      </c>
      <c r="C4" s="17" t="s">
        <v>6</v>
      </c>
      <c r="D4" s="17" t="s">
        <v>7</v>
      </c>
      <c r="E4" s="17" t="s">
        <v>8</v>
      </c>
      <c r="F4" s="17" t="s">
        <v>9</v>
      </c>
      <c r="G4" s="17" t="s">
        <v>10</v>
      </c>
      <c r="H4" s="17" t="s">
        <v>11</v>
      </c>
      <c r="I4" s="17" t="s">
        <v>12</v>
      </c>
      <c r="J4" s="17" t="s">
        <v>13</v>
      </c>
      <c r="K4" s="17" t="s">
        <v>14</v>
      </c>
      <c r="L4" s="17" t="s">
        <v>15</v>
      </c>
      <c r="M4" s="17" t="s">
        <v>16</v>
      </c>
      <c r="N4" s="17" t="s">
        <v>17</v>
      </c>
      <c r="O4" s="17" t="s">
        <v>18</v>
      </c>
      <c r="P4" s="17" t="s">
        <v>19</v>
      </c>
      <c r="Q4" s="17" t="s">
        <v>20</v>
      </c>
      <c r="R4" s="17" t="s">
        <v>21</v>
      </c>
      <c r="S4" s="17" t="s">
        <v>22</v>
      </c>
      <c r="T4" s="17" t="s">
        <v>23</v>
      </c>
      <c r="U4" s="17" t="s">
        <v>24</v>
      </c>
      <c r="V4" s="17" t="s">
        <v>25</v>
      </c>
    </row>
    <row r="5" spans="1:22" x14ac:dyDescent="0.4">
      <c r="A5" s="18">
        <v>8</v>
      </c>
      <c r="B5" s="19" t="s">
        <v>54</v>
      </c>
      <c r="C5" s="18" t="s">
        <v>55</v>
      </c>
      <c r="D5" s="18">
        <v>0</v>
      </c>
      <c r="E5" s="18">
        <v>0</v>
      </c>
      <c r="F5" s="18">
        <v>0</v>
      </c>
      <c r="G5" s="20">
        <f t="shared" ref="G5:G16" si="0">IFERROR(E5/F5,0)</f>
        <v>0</v>
      </c>
      <c r="H5" s="18">
        <v>0</v>
      </c>
      <c r="I5" s="18">
        <v>0</v>
      </c>
      <c r="J5" s="20">
        <f t="shared" ref="J5:J16" si="1">IFERROR(H5/I5,0)</f>
        <v>0</v>
      </c>
      <c r="K5" s="18">
        <v>0</v>
      </c>
      <c r="L5" s="18">
        <v>0</v>
      </c>
      <c r="M5" s="20">
        <f t="shared" ref="M5:M16" si="2">IFERROR(K5/L5,0)</f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 t="s">
        <v>47</v>
      </c>
    </row>
    <row r="6" spans="1:22" x14ac:dyDescent="0.4">
      <c r="A6" s="18">
        <v>13</v>
      </c>
      <c r="B6" s="19" t="s">
        <v>56</v>
      </c>
      <c r="C6" s="18" t="s">
        <v>57</v>
      </c>
      <c r="D6" s="18">
        <v>3</v>
      </c>
      <c r="E6" s="18">
        <v>0</v>
      </c>
      <c r="F6" s="18">
        <v>0</v>
      </c>
      <c r="G6" s="20">
        <f t="shared" si="0"/>
        <v>0</v>
      </c>
      <c r="H6" s="18">
        <v>0</v>
      </c>
      <c r="I6" s="18">
        <v>0</v>
      </c>
      <c r="J6" s="20">
        <f t="shared" si="1"/>
        <v>0</v>
      </c>
      <c r="K6" s="18">
        <v>3</v>
      </c>
      <c r="L6" s="18">
        <v>4</v>
      </c>
      <c r="M6" s="20">
        <f t="shared" si="2"/>
        <v>0.75</v>
      </c>
      <c r="N6" s="18">
        <v>0</v>
      </c>
      <c r="O6" s="18">
        <v>1</v>
      </c>
      <c r="P6" s="18">
        <v>1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 t="s">
        <v>47</v>
      </c>
    </row>
    <row r="7" spans="1:22" x14ac:dyDescent="0.4">
      <c r="A7" s="18">
        <v>20</v>
      </c>
      <c r="B7" s="19" t="s">
        <v>58</v>
      </c>
      <c r="C7" s="18" t="s">
        <v>59</v>
      </c>
      <c r="D7" s="18">
        <v>1</v>
      </c>
      <c r="E7" s="18">
        <v>0</v>
      </c>
      <c r="F7" s="18">
        <v>1</v>
      </c>
      <c r="G7" s="20">
        <f t="shared" si="0"/>
        <v>0</v>
      </c>
      <c r="H7" s="18">
        <v>0</v>
      </c>
      <c r="I7" s="18">
        <v>1</v>
      </c>
      <c r="J7" s="20">
        <f t="shared" si="1"/>
        <v>0</v>
      </c>
      <c r="K7" s="18">
        <v>1</v>
      </c>
      <c r="L7" s="18">
        <v>2</v>
      </c>
      <c r="M7" s="20">
        <f t="shared" si="2"/>
        <v>0.5</v>
      </c>
      <c r="N7" s="18">
        <v>1</v>
      </c>
      <c r="O7" s="18">
        <v>1</v>
      </c>
      <c r="P7" s="18">
        <v>2</v>
      </c>
      <c r="Q7" s="18">
        <v>1</v>
      </c>
      <c r="R7" s="18">
        <v>0</v>
      </c>
      <c r="S7" s="18">
        <v>0</v>
      </c>
      <c r="T7" s="18">
        <v>0</v>
      </c>
      <c r="U7" s="18">
        <v>0</v>
      </c>
      <c r="V7" s="18" t="s">
        <v>47</v>
      </c>
    </row>
    <row r="8" spans="1:22" x14ac:dyDescent="0.4">
      <c r="A8" s="18">
        <v>23</v>
      </c>
      <c r="B8" s="19" t="s">
        <v>60</v>
      </c>
      <c r="C8" s="18" t="s">
        <v>29</v>
      </c>
      <c r="D8" s="18">
        <v>5</v>
      </c>
      <c r="E8" s="18">
        <v>2</v>
      </c>
      <c r="F8" s="18">
        <v>4</v>
      </c>
      <c r="G8" s="20">
        <f t="shared" si="0"/>
        <v>0.5</v>
      </c>
      <c r="H8" s="18">
        <v>1</v>
      </c>
      <c r="I8" s="18">
        <v>2</v>
      </c>
      <c r="J8" s="20">
        <f t="shared" si="1"/>
        <v>0.5</v>
      </c>
      <c r="K8" s="18">
        <v>0</v>
      </c>
      <c r="L8" s="18">
        <v>0</v>
      </c>
      <c r="M8" s="20">
        <f t="shared" si="2"/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1</v>
      </c>
      <c r="T8" s="18">
        <v>0</v>
      </c>
      <c r="U8" s="18">
        <v>0</v>
      </c>
      <c r="V8" s="18" t="s">
        <v>47</v>
      </c>
    </row>
    <row r="9" spans="1:22" x14ac:dyDescent="0.4">
      <c r="A9" s="18">
        <v>88</v>
      </c>
      <c r="B9" s="19" t="s">
        <v>61</v>
      </c>
      <c r="C9" s="18" t="s">
        <v>29</v>
      </c>
      <c r="D9" s="18">
        <v>0</v>
      </c>
      <c r="E9" s="18">
        <v>0</v>
      </c>
      <c r="F9" s="18">
        <v>0</v>
      </c>
      <c r="G9" s="20">
        <f t="shared" si="0"/>
        <v>0</v>
      </c>
      <c r="H9" s="18">
        <v>0</v>
      </c>
      <c r="I9" s="18">
        <v>0</v>
      </c>
      <c r="J9" s="20">
        <f t="shared" si="1"/>
        <v>0</v>
      </c>
      <c r="K9" s="18">
        <v>0</v>
      </c>
      <c r="L9" s="18">
        <v>0</v>
      </c>
      <c r="M9" s="20">
        <f t="shared" si="2"/>
        <v>0</v>
      </c>
      <c r="N9" s="18">
        <v>1</v>
      </c>
      <c r="O9" s="18">
        <v>0</v>
      </c>
      <c r="P9" s="18">
        <v>1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 t="s">
        <v>47</v>
      </c>
    </row>
    <row r="10" spans="1:22" x14ac:dyDescent="0.4">
      <c r="A10" s="18">
        <v>2</v>
      </c>
      <c r="B10" s="19" t="s">
        <v>62</v>
      </c>
      <c r="C10" s="18" t="s">
        <v>63</v>
      </c>
      <c r="D10" s="18">
        <v>0</v>
      </c>
      <c r="E10" s="18">
        <v>0</v>
      </c>
      <c r="F10" s="18">
        <v>0</v>
      </c>
      <c r="G10" s="20">
        <f t="shared" si="0"/>
        <v>0</v>
      </c>
      <c r="H10" s="18">
        <v>0</v>
      </c>
      <c r="I10" s="18">
        <v>0</v>
      </c>
      <c r="J10" s="20">
        <f t="shared" si="1"/>
        <v>0</v>
      </c>
      <c r="K10" s="18">
        <v>0</v>
      </c>
      <c r="L10" s="18">
        <v>0</v>
      </c>
      <c r="M10" s="20">
        <f t="shared" si="2"/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 t="s">
        <v>47</v>
      </c>
    </row>
    <row r="11" spans="1:22" x14ac:dyDescent="0.4">
      <c r="A11" s="18">
        <v>5</v>
      </c>
      <c r="B11" s="19" t="s">
        <v>64</v>
      </c>
      <c r="C11" s="18" t="s">
        <v>65</v>
      </c>
      <c r="D11" s="18">
        <v>0</v>
      </c>
      <c r="E11" s="18">
        <v>0</v>
      </c>
      <c r="F11" s="18">
        <v>0</v>
      </c>
      <c r="G11" s="20">
        <f t="shared" si="0"/>
        <v>0</v>
      </c>
      <c r="H11" s="18">
        <v>0</v>
      </c>
      <c r="I11" s="18">
        <v>0</v>
      </c>
      <c r="J11" s="20">
        <f t="shared" si="1"/>
        <v>0</v>
      </c>
      <c r="K11" s="18">
        <v>0</v>
      </c>
      <c r="L11" s="18">
        <v>0</v>
      </c>
      <c r="M11" s="20">
        <f t="shared" si="2"/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 t="s">
        <v>47</v>
      </c>
    </row>
    <row r="12" spans="1:22" x14ac:dyDescent="0.4">
      <c r="A12" s="18">
        <v>7</v>
      </c>
      <c r="B12" s="19" t="s">
        <v>66</v>
      </c>
      <c r="C12" s="18" t="s">
        <v>67</v>
      </c>
      <c r="D12" s="18">
        <v>0</v>
      </c>
      <c r="E12" s="18">
        <v>0</v>
      </c>
      <c r="F12" s="18">
        <v>0</v>
      </c>
      <c r="G12" s="20">
        <f t="shared" si="0"/>
        <v>0</v>
      </c>
      <c r="H12" s="18">
        <v>0</v>
      </c>
      <c r="I12" s="18">
        <v>0</v>
      </c>
      <c r="J12" s="20">
        <f t="shared" si="1"/>
        <v>0</v>
      </c>
      <c r="K12" s="18">
        <v>0</v>
      </c>
      <c r="L12" s="18">
        <v>0</v>
      </c>
      <c r="M12" s="20">
        <f t="shared" si="2"/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 t="s">
        <v>47</v>
      </c>
    </row>
    <row r="13" spans="1:22" x14ac:dyDescent="0.4">
      <c r="A13" s="18">
        <v>22</v>
      </c>
      <c r="B13" s="19" t="s">
        <v>68</v>
      </c>
      <c r="C13" s="18" t="s">
        <v>69</v>
      </c>
      <c r="D13" s="18">
        <v>0</v>
      </c>
      <c r="E13" s="18">
        <v>0</v>
      </c>
      <c r="F13" s="18">
        <v>0</v>
      </c>
      <c r="G13" s="20">
        <f t="shared" si="0"/>
        <v>0</v>
      </c>
      <c r="H13" s="18">
        <v>0</v>
      </c>
      <c r="I13" s="18">
        <v>0</v>
      </c>
      <c r="J13" s="20">
        <f t="shared" si="1"/>
        <v>0</v>
      </c>
      <c r="K13" s="18">
        <v>0</v>
      </c>
      <c r="L13" s="18">
        <v>0</v>
      </c>
      <c r="M13" s="20">
        <f t="shared" si="2"/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 t="s">
        <v>47</v>
      </c>
    </row>
    <row r="14" spans="1:22" x14ac:dyDescent="0.4">
      <c r="A14" s="18">
        <v>29</v>
      </c>
      <c r="B14" s="19" t="s">
        <v>70</v>
      </c>
      <c r="C14" s="18" t="s">
        <v>71</v>
      </c>
      <c r="D14" s="18">
        <v>0</v>
      </c>
      <c r="E14" s="18">
        <v>0</v>
      </c>
      <c r="F14" s="18">
        <v>0</v>
      </c>
      <c r="G14" s="20">
        <f t="shared" si="0"/>
        <v>0</v>
      </c>
      <c r="H14" s="18">
        <v>0</v>
      </c>
      <c r="I14" s="18">
        <v>0</v>
      </c>
      <c r="J14" s="20">
        <f t="shared" si="1"/>
        <v>0</v>
      </c>
      <c r="K14" s="18">
        <v>0</v>
      </c>
      <c r="L14" s="18">
        <v>0</v>
      </c>
      <c r="M14" s="20">
        <f t="shared" si="2"/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 t="s">
        <v>47</v>
      </c>
    </row>
    <row r="15" spans="1:22" x14ac:dyDescent="0.4">
      <c r="A15" s="18">
        <v>34</v>
      </c>
      <c r="B15" s="19" t="s">
        <v>72</v>
      </c>
      <c r="C15" s="18" t="s">
        <v>73</v>
      </c>
      <c r="D15" s="18">
        <v>3</v>
      </c>
      <c r="E15" s="18">
        <v>1</v>
      </c>
      <c r="F15" s="18">
        <v>1</v>
      </c>
      <c r="G15" s="20">
        <f t="shared" si="0"/>
        <v>1</v>
      </c>
      <c r="H15" s="18">
        <v>0</v>
      </c>
      <c r="I15" s="18">
        <v>0</v>
      </c>
      <c r="J15" s="20">
        <f t="shared" si="1"/>
        <v>0</v>
      </c>
      <c r="K15" s="18">
        <v>1</v>
      </c>
      <c r="L15" s="18">
        <v>2</v>
      </c>
      <c r="M15" s="20">
        <f t="shared" si="2"/>
        <v>0.5</v>
      </c>
      <c r="N15" s="18">
        <v>1</v>
      </c>
      <c r="O15" s="18">
        <v>1</v>
      </c>
      <c r="P15" s="18">
        <v>2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 t="s">
        <v>47</v>
      </c>
    </row>
    <row r="16" spans="1:22" x14ac:dyDescent="0.4">
      <c r="A16" s="21"/>
      <c r="B16" s="22" t="s">
        <v>50</v>
      </c>
      <c r="C16" s="21" t="s">
        <v>78</v>
      </c>
      <c r="D16" s="21">
        <f>SUM(D5:D15)</f>
        <v>12</v>
      </c>
      <c r="E16" s="21">
        <f>SUM(E5:E15)</f>
        <v>3</v>
      </c>
      <c r="F16" s="21">
        <f>SUM(F5:F15)</f>
        <v>6</v>
      </c>
      <c r="G16" s="23">
        <f t="shared" si="0"/>
        <v>0.5</v>
      </c>
      <c r="H16" s="21">
        <f>SUM(H5:H15)</f>
        <v>1</v>
      </c>
      <c r="I16" s="21">
        <f>SUM(I5:I15)</f>
        <v>3</v>
      </c>
      <c r="J16" s="23">
        <f t="shared" si="1"/>
        <v>0.33333333333333331</v>
      </c>
      <c r="K16" s="21">
        <f>SUM(K5:K15)</f>
        <v>5</v>
      </c>
      <c r="L16" s="21">
        <f>SUM(L5:L15)</f>
        <v>8</v>
      </c>
      <c r="M16" s="23">
        <f t="shared" si="2"/>
        <v>0.625</v>
      </c>
      <c r="N16" s="21">
        <f t="shared" ref="N16:U16" si="3">SUM(N5:N15)</f>
        <v>3</v>
      </c>
      <c r="O16" s="21">
        <f t="shared" si="3"/>
        <v>3</v>
      </c>
      <c r="P16" s="21">
        <f t="shared" si="3"/>
        <v>6</v>
      </c>
      <c r="Q16" s="21">
        <f t="shared" si="3"/>
        <v>1</v>
      </c>
      <c r="R16" s="21">
        <f t="shared" si="3"/>
        <v>0</v>
      </c>
      <c r="S16" s="21">
        <f t="shared" si="3"/>
        <v>1</v>
      </c>
      <c r="T16" s="21">
        <f t="shared" si="3"/>
        <v>0</v>
      </c>
      <c r="U16" s="21">
        <f t="shared" si="3"/>
        <v>0</v>
      </c>
      <c r="V16" s="21" t="s">
        <v>47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라이징이글스</vt:lpstr>
      <vt:lpstr>제이크루</vt:lpstr>
      <vt:lpstr>라이징이글스 OT2</vt:lpstr>
      <vt:lpstr>제이크루 OT2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수빈 김</cp:lastModifiedBy>
  <dcterms:created xsi:type="dcterms:W3CDTF">2026-05-20T12:19:57Z</dcterms:created>
  <dcterms:modified xsi:type="dcterms:W3CDTF">2026-05-20T12:35:24Z</dcterms:modified>
</cp:coreProperties>
</file>